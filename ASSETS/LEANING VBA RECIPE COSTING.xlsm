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421a1d65c3053ea/"/>
    </mc:Choice>
  </mc:AlternateContent>
  <xr:revisionPtr revIDLastSave="212" documentId="8_{6EEF97F9-BA16-42DD-8019-00D17FF86DA2}" xr6:coauthVersionLast="47" xr6:coauthVersionMax="47" xr10:uidLastSave="{23C85C07-098A-4B10-A955-A932D9A7CD98}"/>
  <bookViews>
    <workbookView xWindow="-110" yWindow="-110" windowWidth="19420" windowHeight="10300" firstSheet="20" activeTab="26" xr2:uid="{4B20AB19-6118-43F3-965A-AD7C24AE908E}"/>
  </bookViews>
  <sheets>
    <sheet name="UNITS" sheetId="1" r:id="rId1"/>
    <sheet name="INGREDIENT " sheetId="5" r:id="rId2"/>
    <sheet name="SUMMARY SHEET" sheetId="38" r:id="rId3"/>
    <sheet name="BLANK" sheetId="26" r:id="rId4"/>
    <sheet name="ZOBO" sheetId="43" r:id="rId5"/>
    <sheet name="BANANA BREAD" sheetId="33" r:id="rId6"/>
    <sheet name="CHOCOLATE FOIL CAKE" sheetId="32" r:id="rId7"/>
    <sheet name="RED VELVET FOIL CAKE" sheetId="31" r:id="rId8"/>
    <sheet name="Foil Cake" sheetId="30" r:id="rId9"/>
    <sheet name="BAGUETTE" sheetId="3" r:id="rId10"/>
    <sheet name="BROWNIES" sheetId="6" r:id="rId11"/>
    <sheet name="CINNAMON ROLL" sheetId="7" r:id="rId12"/>
    <sheet name="MEATPIE" sheetId="8" r:id="rId13"/>
    <sheet name="COFFEE CAKE" sheetId="9" r:id="rId14"/>
    <sheet name="CUPCAKE" sheetId="11" r:id="rId15"/>
    <sheet name="BOMBOLINI" sheetId="12" r:id="rId16"/>
    <sheet name="FISHROLL" sheetId="10" r:id="rId17"/>
    <sheet name="MUFFINS" sheetId="13" r:id="rId18"/>
    <sheet name="CROISSANTS" sheetId="14" r:id="rId19"/>
    <sheet name="BREADROLLS" sheetId="16" r:id="rId20"/>
    <sheet name="DOUGHNUT" sheetId="15" r:id="rId21"/>
    <sheet name="WAFFLES" sheetId="18" r:id="rId22"/>
    <sheet name="egg toast" sheetId="22" r:id="rId23"/>
    <sheet name="TOAST" sheetId="19" r:id="rId24"/>
    <sheet name="TOAST CREAM" sheetId="17" r:id="rId25"/>
    <sheet name="CAFE LATTE" sheetId="21" r:id="rId26"/>
    <sheet name="chin chin " sheetId="47" r:id="rId27"/>
  </sheets>
  <functionGroups builtInGroupCount="19"/>
  <definedNames>
    <definedName name="_Toc167473925" localSheetId="16">FISHROLL!#REF!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3" i="47" l="1"/>
  <c r="F43" i="47" s="1"/>
  <c r="E42" i="47"/>
  <c r="F42" i="47" s="1"/>
  <c r="E41" i="47"/>
  <c r="F41" i="47" s="1"/>
  <c r="E40" i="47"/>
  <c r="F40" i="47" s="1"/>
  <c r="E39" i="47"/>
  <c r="F39" i="47" s="1"/>
  <c r="E38" i="47"/>
  <c r="F38" i="47" s="1"/>
  <c r="E37" i="47"/>
  <c r="F37" i="47" s="1"/>
  <c r="E36" i="47"/>
  <c r="F36" i="47" s="1"/>
  <c r="E35" i="47"/>
  <c r="F35" i="47" s="1"/>
  <c r="E34" i="47"/>
  <c r="F34" i="47" s="1"/>
  <c r="E33" i="47"/>
  <c r="F33" i="47" s="1"/>
  <c r="E32" i="47"/>
  <c r="F32" i="47" s="1"/>
  <c r="E31" i="47"/>
  <c r="F31" i="47" s="1"/>
  <c r="E30" i="47"/>
  <c r="F30" i="47" s="1"/>
  <c r="E29" i="47"/>
  <c r="F29" i="47" s="1"/>
  <c r="E28" i="47"/>
  <c r="F28" i="47" s="1"/>
  <c r="E27" i="47"/>
  <c r="F27" i="47" s="1"/>
  <c r="E26" i="47"/>
  <c r="F26" i="47" s="1"/>
  <c r="E25" i="47"/>
  <c r="F25" i="47" s="1"/>
  <c r="E24" i="47"/>
  <c r="F24" i="47" s="1"/>
  <c r="E23" i="47"/>
  <c r="F23" i="47" s="1"/>
  <c r="D2" i="47"/>
  <c r="E57" i="5"/>
  <c r="M57" i="5" s="1"/>
  <c r="E58" i="5"/>
  <c r="K58" i="5" s="1"/>
  <c r="E59" i="5"/>
  <c r="E60" i="5"/>
  <c r="F57" i="5"/>
  <c r="F59" i="5"/>
  <c r="F60" i="5"/>
  <c r="G57" i="5"/>
  <c r="G59" i="5"/>
  <c r="G60" i="5"/>
  <c r="H57" i="5"/>
  <c r="H59" i="5"/>
  <c r="H60" i="5"/>
  <c r="I57" i="5"/>
  <c r="I58" i="5"/>
  <c r="I59" i="5"/>
  <c r="I60" i="5"/>
  <c r="J57" i="5"/>
  <c r="J58" i="5"/>
  <c r="J59" i="5"/>
  <c r="J60" i="5"/>
  <c r="K57" i="5"/>
  <c r="K59" i="5"/>
  <c r="K60" i="5"/>
  <c r="L57" i="5"/>
  <c r="L59" i="5"/>
  <c r="L60" i="5"/>
  <c r="M58" i="5"/>
  <c r="M59" i="5"/>
  <c r="M60" i="5"/>
  <c r="E7" i="33"/>
  <c r="E8" i="33" s="1"/>
  <c r="C9" i="38"/>
  <c r="C15" i="38"/>
  <c r="C19" i="38"/>
  <c r="C22" i="38"/>
  <c r="F27" i="38"/>
  <c r="C14" i="38"/>
  <c r="C8" i="38"/>
  <c r="F28" i="38"/>
  <c r="C7" i="38"/>
  <c r="E28" i="38"/>
  <c r="D27" i="38"/>
  <c r="C21" i="38"/>
  <c r="C10" i="38"/>
  <c r="C3" i="38"/>
  <c r="C25" i="38"/>
  <c r="D28" i="38"/>
  <c r="C17" i="38"/>
  <c r="C24" i="38"/>
  <c r="C16" i="38"/>
  <c r="C12" i="38"/>
  <c r="C5" i="38"/>
  <c r="C26" i="38"/>
  <c r="E26" i="38"/>
  <c r="C20" i="38"/>
  <c r="C18" i="38"/>
  <c r="C28" i="38"/>
  <c r="E27" i="38"/>
  <c r="C13" i="38"/>
  <c r="D26" i="38"/>
  <c r="C6" i="38"/>
  <c r="C11" i="38"/>
  <c r="C4" i="38"/>
  <c r="F26" i="38"/>
  <c r="C23" i="38"/>
  <c r="C27" i="38"/>
  <c r="L58" i="5" l="1"/>
  <c r="H58" i="5"/>
  <c r="F58" i="5"/>
  <c r="G58" i="5"/>
  <c r="B28" i="38"/>
  <c r="B27" i="38"/>
  <c r="B26" i="38"/>
  <c r="E52" i="5"/>
  <c r="G52" i="5" s="1"/>
  <c r="E53" i="5"/>
  <c r="E54" i="5"/>
  <c r="F54" i="5" s="1"/>
  <c r="E55" i="5"/>
  <c r="E56" i="5"/>
  <c r="M56" i="5" s="1"/>
  <c r="F53" i="5"/>
  <c r="F55" i="5"/>
  <c r="F56" i="5"/>
  <c r="G53" i="5"/>
  <c r="G54" i="5"/>
  <c r="G55" i="5"/>
  <c r="G56" i="5"/>
  <c r="H53" i="5"/>
  <c r="H55" i="5"/>
  <c r="H56" i="5"/>
  <c r="I52" i="5"/>
  <c r="I53" i="5"/>
  <c r="I54" i="5"/>
  <c r="I55" i="5"/>
  <c r="I56" i="5"/>
  <c r="J52" i="5"/>
  <c r="J53" i="5"/>
  <c r="J54" i="5"/>
  <c r="J55" i="5"/>
  <c r="J56" i="5"/>
  <c r="K53" i="5"/>
  <c r="K54" i="5"/>
  <c r="K55" i="5"/>
  <c r="K56" i="5"/>
  <c r="L53" i="5"/>
  <c r="L55" i="5"/>
  <c r="L56" i="5"/>
  <c r="M52" i="5"/>
  <c r="M53" i="5"/>
  <c r="M54" i="5"/>
  <c r="M55" i="5"/>
  <c r="H52" i="5" l="1"/>
  <c r="K52" i="5"/>
  <c r="L54" i="5"/>
  <c r="H54" i="5"/>
  <c r="F52" i="5"/>
  <c r="L52" i="5"/>
  <c r="E43" i="43"/>
  <c r="F43" i="43" s="1"/>
  <c r="E42" i="43"/>
  <c r="F42" i="43" s="1"/>
  <c r="E41" i="43"/>
  <c r="F41" i="43" s="1"/>
  <c r="E40" i="43"/>
  <c r="F40" i="43" s="1"/>
  <c r="E39" i="43"/>
  <c r="F39" i="43" s="1"/>
  <c r="E38" i="43"/>
  <c r="F38" i="43" s="1"/>
  <c r="E37" i="43"/>
  <c r="F37" i="43" s="1"/>
  <c r="E36" i="43"/>
  <c r="F36" i="43" s="1"/>
  <c r="E35" i="43"/>
  <c r="F35" i="43" s="1"/>
  <c r="E34" i="43"/>
  <c r="F34" i="43" s="1"/>
  <c r="E33" i="43"/>
  <c r="F33" i="43" s="1"/>
  <c r="E32" i="43"/>
  <c r="F32" i="43" s="1"/>
  <c r="E31" i="43"/>
  <c r="F31" i="43" s="1"/>
  <c r="E30" i="43"/>
  <c r="F30" i="43" s="1"/>
  <c r="E29" i="43"/>
  <c r="F29" i="43" s="1"/>
  <c r="E28" i="43"/>
  <c r="F28" i="43" s="1"/>
  <c r="E27" i="43"/>
  <c r="F27" i="43" s="1"/>
  <c r="E26" i="43"/>
  <c r="F26" i="43" s="1"/>
  <c r="E25" i="43"/>
  <c r="F25" i="43" s="1"/>
  <c r="E24" i="43"/>
  <c r="F24" i="43" s="1"/>
  <c r="E23" i="43"/>
  <c r="F23" i="43" s="1"/>
  <c r="E22" i="43"/>
  <c r="F22" i="43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E15" i="43"/>
  <c r="F15" i="43" s="1"/>
  <c r="E14" i="43"/>
  <c r="F14" i="43" s="1"/>
  <c r="E13" i="43"/>
  <c r="F13" i="43" s="1"/>
  <c r="E12" i="43"/>
  <c r="F12" i="43" s="1"/>
  <c r="C4" i="43" l="1"/>
  <c r="C7" i="43" s="1"/>
  <c r="E7" i="5"/>
  <c r="K7" i="5" s="1"/>
  <c r="G7" i="5"/>
  <c r="H7" i="5"/>
  <c r="J7" i="5"/>
  <c r="M7" i="5"/>
  <c r="E25" i="32"/>
  <c r="F25" i="32" s="1"/>
  <c r="E26" i="32"/>
  <c r="F26" i="32" s="1"/>
  <c r="E27" i="32"/>
  <c r="F27" i="32" s="1"/>
  <c r="E28" i="32"/>
  <c r="F28" i="32" s="1"/>
  <c r="E29" i="32"/>
  <c r="F29" i="32" s="1"/>
  <c r="E30" i="32"/>
  <c r="F30" i="32" s="1"/>
  <c r="E31" i="32"/>
  <c r="F31" i="32" s="1"/>
  <c r="E32" i="32"/>
  <c r="F32" i="32" s="1"/>
  <c r="E33" i="32"/>
  <c r="F33" i="32" s="1"/>
  <c r="E34" i="32"/>
  <c r="F34" i="32" s="1"/>
  <c r="E35" i="32"/>
  <c r="F35" i="32" s="1"/>
  <c r="E36" i="32"/>
  <c r="F36" i="32" s="1"/>
  <c r="E37" i="32"/>
  <c r="F37" i="32" s="1"/>
  <c r="E38" i="32"/>
  <c r="F38" i="32" s="1"/>
  <c r="E39" i="32"/>
  <c r="F39" i="32" s="1"/>
  <c r="E40" i="32"/>
  <c r="F40" i="32" s="1"/>
  <c r="E41" i="32"/>
  <c r="F41" i="32" s="1"/>
  <c r="E42" i="32"/>
  <c r="F42" i="32" s="1"/>
  <c r="E28" i="33"/>
  <c r="F28" i="33" s="1"/>
  <c r="E29" i="33"/>
  <c r="F29" i="33" s="1"/>
  <c r="E30" i="33"/>
  <c r="F30" i="33" s="1"/>
  <c r="E31" i="33"/>
  <c r="F31" i="33" s="1"/>
  <c r="E32" i="33"/>
  <c r="F32" i="33" s="1"/>
  <c r="E33" i="33"/>
  <c r="F33" i="33" s="1"/>
  <c r="E34" i="33"/>
  <c r="F34" i="33" s="1"/>
  <c r="E35" i="33"/>
  <c r="F35" i="33" s="1"/>
  <c r="E36" i="33"/>
  <c r="F36" i="33" s="1"/>
  <c r="E37" i="33"/>
  <c r="F37" i="33" s="1"/>
  <c r="E38" i="33"/>
  <c r="F38" i="33" s="1"/>
  <c r="E39" i="33"/>
  <c r="F39" i="33" s="1"/>
  <c r="E40" i="33"/>
  <c r="F40" i="33" s="1"/>
  <c r="E41" i="33"/>
  <c r="F41" i="33" s="1"/>
  <c r="E42" i="33"/>
  <c r="F42" i="33" s="1"/>
  <c r="E51" i="5"/>
  <c r="J51" i="5" s="1"/>
  <c r="G51" i="5"/>
  <c r="H51" i="5"/>
  <c r="M51" i="5"/>
  <c r="E5" i="5"/>
  <c r="M5" i="5" s="1"/>
  <c r="K5" i="5"/>
  <c r="L5" i="5"/>
  <c r="E38" i="5"/>
  <c r="F38" i="5"/>
  <c r="G38" i="5"/>
  <c r="H38" i="5"/>
  <c r="I38" i="5"/>
  <c r="J38" i="5"/>
  <c r="K38" i="5"/>
  <c r="L38" i="5"/>
  <c r="M38" i="5"/>
  <c r="E25" i="33" s="1"/>
  <c r="E12" i="32"/>
  <c r="F12" i="32" s="1"/>
  <c r="E23" i="30"/>
  <c r="F23" i="30" s="1"/>
  <c r="E24" i="30"/>
  <c r="F24" i="30" s="1"/>
  <c r="E25" i="30"/>
  <c r="F25" i="30" s="1"/>
  <c r="E26" i="30"/>
  <c r="F26" i="30" s="1"/>
  <c r="E27" i="30"/>
  <c r="F27" i="30" s="1"/>
  <c r="E28" i="30"/>
  <c r="F28" i="30" s="1"/>
  <c r="E29" i="30"/>
  <c r="F29" i="30" s="1"/>
  <c r="E30" i="30"/>
  <c r="F30" i="30" s="1"/>
  <c r="E31" i="30"/>
  <c r="F31" i="30" s="1"/>
  <c r="E32" i="30"/>
  <c r="F32" i="30" s="1"/>
  <c r="E33" i="30"/>
  <c r="F33" i="30" s="1"/>
  <c r="E34" i="30"/>
  <c r="F34" i="30" s="1"/>
  <c r="E35" i="30"/>
  <c r="F35" i="30" s="1"/>
  <c r="E36" i="30"/>
  <c r="F36" i="30" s="1"/>
  <c r="E37" i="30"/>
  <c r="F37" i="30" s="1"/>
  <c r="E38" i="30"/>
  <c r="F38" i="30" s="1"/>
  <c r="E39" i="30"/>
  <c r="F39" i="30" s="1"/>
  <c r="E40" i="30"/>
  <c r="F40" i="30" s="1"/>
  <c r="E41" i="30"/>
  <c r="F41" i="30" s="1"/>
  <c r="E42" i="30"/>
  <c r="F42" i="30" s="1"/>
  <c r="E19" i="5"/>
  <c r="F19" i="5"/>
  <c r="G19" i="5"/>
  <c r="H19" i="5"/>
  <c r="I19" i="5"/>
  <c r="J19" i="5"/>
  <c r="K19" i="5"/>
  <c r="L19" i="5"/>
  <c r="M19" i="5"/>
  <c r="E25" i="31"/>
  <c r="F25" i="31" s="1"/>
  <c r="E26" i="31"/>
  <c r="F26" i="31" s="1"/>
  <c r="E27" i="31"/>
  <c r="F27" i="31" s="1"/>
  <c r="E28" i="31"/>
  <c r="F28" i="31" s="1"/>
  <c r="E29" i="31"/>
  <c r="F29" i="31" s="1"/>
  <c r="E30" i="31"/>
  <c r="F30" i="31" s="1"/>
  <c r="E31" i="31"/>
  <c r="F31" i="31" s="1"/>
  <c r="E32" i="31"/>
  <c r="F32" i="31" s="1"/>
  <c r="E33" i="31"/>
  <c r="F33" i="31" s="1"/>
  <c r="E34" i="31"/>
  <c r="F34" i="31" s="1"/>
  <c r="E35" i="31"/>
  <c r="F35" i="31" s="1"/>
  <c r="E36" i="31"/>
  <c r="F36" i="31" s="1"/>
  <c r="E37" i="31"/>
  <c r="F37" i="31" s="1"/>
  <c r="E38" i="31"/>
  <c r="F38" i="31" s="1"/>
  <c r="E39" i="31"/>
  <c r="F39" i="31" s="1"/>
  <c r="E40" i="31"/>
  <c r="F40" i="31" s="1"/>
  <c r="E41" i="31"/>
  <c r="F41" i="31" s="1"/>
  <c r="E42" i="5"/>
  <c r="G42" i="5" s="1"/>
  <c r="E21" i="30" s="1"/>
  <c r="I42" i="5"/>
  <c r="J42" i="5"/>
  <c r="M42" i="5"/>
  <c r="F26" i="5"/>
  <c r="F27" i="5"/>
  <c r="F34" i="5"/>
  <c r="F36" i="5"/>
  <c r="E26" i="5"/>
  <c r="M26" i="5" s="1"/>
  <c r="E27" i="5"/>
  <c r="M27" i="5" s="1"/>
  <c r="E21" i="5"/>
  <c r="I21" i="5" s="1"/>
  <c r="E34" i="5"/>
  <c r="M34" i="5" s="1"/>
  <c r="E13" i="47" s="1"/>
  <c r="F13" i="47" s="1"/>
  <c r="E36" i="5"/>
  <c r="M36" i="5" s="1"/>
  <c r="E17" i="47" s="1"/>
  <c r="F17" i="47" s="1"/>
  <c r="G26" i="5"/>
  <c r="G27" i="5"/>
  <c r="G34" i="5"/>
  <c r="G36" i="5"/>
  <c r="H26" i="5"/>
  <c r="H27" i="5"/>
  <c r="H34" i="5"/>
  <c r="H36" i="5"/>
  <c r="I26" i="5"/>
  <c r="I27" i="5"/>
  <c r="I34" i="5"/>
  <c r="I36" i="5"/>
  <c r="J26" i="5"/>
  <c r="J27" i="5"/>
  <c r="J34" i="5"/>
  <c r="J36" i="5"/>
  <c r="K26" i="5"/>
  <c r="K27" i="5"/>
  <c r="K34" i="5"/>
  <c r="K36" i="5"/>
  <c r="L26" i="5"/>
  <c r="L27" i="5"/>
  <c r="L34" i="5"/>
  <c r="L36" i="5"/>
  <c r="M21" i="5"/>
  <c r="E43" i="26"/>
  <c r="F43" i="26" s="1"/>
  <c r="E42" i="26"/>
  <c r="F42" i="26" s="1"/>
  <c r="E41" i="26"/>
  <c r="F41" i="26" s="1"/>
  <c r="E40" i="26"/>
  <c r="F40" i="26" s="1"/>
  <c r="E39" i="26"/>
  <c r="F39" i="26" s="1"/>
  <c r="E38" i="26"/>
  <c r="F38" i="26" s="1"/>
  <c r="E37" i="26"/>
  <c r="F37" i="26" s="1"/>
  <c r="E36" i="26"/>
  <c r="F36" i="26" s="1"/>
  <c r="E35" i="26"/>
  <c r="F35" i="26" s="1"/>
  <c r="E34" i="26"/>
  <c r="F34" i="26" s="1"/>
  <c r="E33" i="26"/>
  <c r="F33" i="26" s="1"/>
  <c r="E32" i="26"/>
  <c r="F32" i="26" s="1"/>
  <c r="E31" i="26"/>
  <c r="F31" i="26" s="1"/>
  <c r="E30" i="26"/>
  <c r="F30" i="26" s="1"/>
  <c r="E29" i="26"/>
  <c r="F29" i="26" s="1"/>
  <c r="E28" i="26"/>
  <c r="F28" i="26" s="1"/>
  <c r="E27" i="26"/>
  <c r="F27" i="26" s="1"/>
  <c r="E26" i="26"/>
  <c r="F26" i="26" s="1"/>
  <c r="E25" i="26"/>
  <c r="F25" i="26" s="1"/>
  <c r="E24" i="26"/>
  <c r="F24" i="26" s="1"/>
  <c r="E23" i="26"/>
  <c r="F23" i="26" s="1"/>
  <c r="E22" i="26"/>
  <c r="F22" i="26" s="1"/>
  <c r="E21" i="26"/>
  <c r="F21" i="26" s="1"/>
  <c r="E20" i="26"/>
  <c r="F20" i="26" s="1"/>
  <c r="E19" i="26"/>
  <c r="F19" i="26" s="1"/>
  <c r="E18" i="26"/>
  <c r="F18" i="26" s="1"/>
  <c r="E17" i="26"/>
  <c r="F17" i="26" s="1"/>
  <c r="E16" i="26"/>
  <c r="F16" i="26" s="1"/>
  <c r="E15" i="26"/>
  <c r="F15" i="26" s="1"/>
  <c r="E14" i="26"/>
  <c r="F14" i="26" s="1"/>
  <c r="E13" i="26"/>
  <c r="F13" i="26" s="1"/>
  <c r="E12" i="26"/>
  <c r="F12" i="26" s="1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26" i="8"/>
  <c r="E25" i="8"/>
  <c r="E24" i="8"/>
  <c r="E23" i="8"/>
  <c r="E22" i="8"/>
  <c r="E21" i="8"/>
  <c r="E30" i="9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29" i="12"/>
  <c r="E30" i="12"/>
  <c r="E31" i="12"/>
  <c r="E32" i="12"/>
  <c r="E33" i="12"/>
  <c r="E34" i="12"/>
  <c r="E35" i="12"/>
  <c r="E36" i="12"/>
  <c r="E37" i="12"/>
  <c r="E38" i="12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22" i="13"/>
  <c r="E23" i="13"/>
  <c r="E24" i="13"/>
  <c r="E25" i="13"/>
  <c r="E26" i="13"/>
  <c r="E27" i="13"/>
  <c r="E28" i="13"/>
  <c r="E29" i="13"/>
  <c r="E30" i="13"/>
  <c r="E21" i="13"/>
  <c r="E14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16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12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12" i="22"/>
  <c r="F12" i="22" s="1"/>
  <c r="E18" i="22"/>
  <c r="E19" i="22"/>
  <c r="F19" i="22" s="1"/>
  <c r="E20" i="22"/>
  <c r="E21" i="22"/>
  <c r="F21" i="22" s="1"/>
  <c r="E22" i="22"/>
  <c r="F22" i="22" s="1"/>
  <c r="E23" i="22"/>
  <c r="F23" i="22" s="1"/>
  <c r="E24" i="22"/>
  <c r="F24" i="22" s="1"/>
  <c r="E25" i="22"/>
  <c r="F25" i="22" s="1"/>
  <c r="E26" i="22"/>
  <c r="F26" i="22" s="1"/>
  <c r="E27" i="22"/>
  <c r="F27" i="22" s="1"/>
  <c r="E28" i="22"/>
  <c r="F28" i="22" s="1"/>
  <c r="E29" i="22"/>
  <c r="F29" i="22" s="1"/>
  <c r="E30" i="22"/>
  <c r="F30" i="22" s="1"/>
  <c r="E31" i="22"/>
  <c r="F31" i="22" s="1"/>
  <c r="E32" i="22"/>
  <c r="F32" i="22" s="1"/>
  <c r="E33" i="22"/>
  <c r="F33" i="22" s="1"/>
  <c r="E34" i="22"/>
  <c r="F34" i="22" s="1"/>
  <c r="E35" i="22"/>
  <c r="F35" i="22" s="1"/>
  <c r="E36" i="22"/>
  <c r="F36" i="22" s="1"/>
  <c r="E37" i="22"/>
  <c r="F37" i="22" s="1"/>
  <c r="E38" i="22"/>
  <c r="F38" i="22" s="1"/>
  <c r="E39" i="22"/>
  <c r="F39" i="22" s="1"/>
  <c r="E40" i="22"/>
  <c r="F40" i="22" s="1"/>
  <c r="E41" i="22"/>
  <c r="F41" i="22" s="1"/>
  <c r="E42" i="22"/>
  <c r="F42" i="22" s="1"/>
  <c r="E43" i="22"/>
  <c r="F43" i="22" s="1"/>
  <c r="E12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18" i="5"/>
  <c r="M18" i="5" s="1"/>
  <c r="E15" i="21" s="1"/>
  <c r="F18" i="5"/>
  <c r="G18" i="5"/>
  <c r="H18" i="5"/>
  <c r="I18" i="5"/>
  <c r="J18" i="5"/>
  <c r="K18" i="5"/>
  <c r="L18" i="5"/>
  <c r="E35" i="5"/>
  <c r="F35" i="5"/>
  <c r="G35" i="5"/>
  <c r="H35" i="5"/>
  <c r="I35" i="5"/>
  <c r="J35" i="5"/>
  <c r="K35" i="5"/>
  <c r="L35" i="5"/>
  <c r="M35" i="5"/>
  <c r="E12" i="21" s="1"/>
  <c r="E28" i="5"/>
  <c r="F28" i="5"/>
  <c r="G28" i="5"/>
  <c r="H28" i="5"/>
  <c r="I28" i="5"/>
  <c r="J28" i="5"/>
  <c r="K28" i="5"/>
  <c r="L28" i="5"/>
  <c r="M28" i="5"/>
  <c r="E12" i="5"/>
  <c r="D3" i="38"/>
  <c r="E24" i="32" l="1"/>
  <c r="F24" i="32" s="1"/>
  <c r="B3" i="38"/>
  <c r="C8" i="43"/>
  <c r="F5" i="5"/>
  <c r="E14" i="21"/>
  <c r="F14" i="21" s="1"/>
  <c r="I51" i="5"/>
  <c r="I7" i="5"/>
  <c r="G5" i="5"/>
  <c r="E20" i="33" s="1"/>
  <c r="F20" i="33" s="1"/>
  <c r="F7" i="5"/>
  <c r="L7" i="5"/>
  <c r="F51" i="5"/>
  <c r="E24" i="33"/>
  <c r="F24" i="33" s="1"/>
  <c r="F25" i="33"/>
  <c r="L51" i="5"/>
  <c r="K51" i="5"/>
  <c r="K21" i="5"/>
  <c r="F21" i="5"/>
  <c r="J21" i="5"/>
  <c r="J5" i="5"/>
  <c r="I5" i="5"/>
  <c r="H5" i="5"/>
  <c r="F42" i="5"/>
  <c r="E23" i="31"/>
  <c r="F23" i="31" s="1"/>
  <c r="E22" i="30"/>
  <c r="F22" i="30" s="1"/>
  <c r="G21" i="5"/>
  <c r="L21" i="5"/>
  <c r="H21" i="5"/>
  <c r="F21" i="30"/>
  <c r="E24" i="31"/>
  <c r="F24" i="31" s="1"/>
  <c r="L42" i="5"/>
  <c r="K42" i="5"/>
  <c r="H42" i="5"/>
  <c r="C4" i="26"/>
  <c r="C7" i="26" s="1"/>
  <c r="C8" i="26" s="1"/>
  <c r="C9" i="26" s="1"/>
  <c r="F43" i="21"/>
  <c r="F42" i="21"/>
  <c r="F41" i="21"/>
  <c r="F40" i="21"/>
  <c r="F39" i="21"/>
  <c r="F38" i="21"/>
  <c r="F37" i="21"/>
  <c r="F3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2" i="21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12" i="19"/>
  <c r="E46" i="5"/>
  <c r="G46" i="5" s="1"/>
  <c r="E4" i="5"/>
  <c r="F4" i="5" s="1"/>
  <c r="E39" i="5"/>
  <c r="H39" i="5" s="1"/>
  <c r="E11" i="5"/>
  <c r="M11" i="5" s="1"/>
  <c r="M12" i="5"/>
  <c r="E44" i="5"/>
  <c r="K44" i="5" s="1"/>
  <c r="E47" i="5"/>
  <c r="F47" i="5" s="1"/>
  <c r="G12" i="5"/>
  <c r="G44" i="5"/>
  <c r="G47" i="5"/>
  <c r="H44" i="5"/>
  <c r="H47" i="5"/>
  <c r="I46" i="5"/>
  <c r="I4" i="5"/>
  <c r="J46" i="5"/>
  <c r="J4" i="5"/>
  <c r="M46" i="5"/>
  <c r="M4" i="5"/>
  <c r="M39" i="5"/>
  <c r="M44" i="5"/>
  <c r="M47" i="5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16" i="15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4" i="14"/>
  <c r="E20" i="5"/>
  <c r="J20" i="5" s="1"/>
  <c r="M20" i="5"/>
  <c r="F30" i="13"/>
  <c r="F29" i="13"/>
  <c r="F28" i="13"/>
  <c r="F27" i="13"/>
  <c r="F26" i="13"/>
  <c r="F25" i="13"/>
  <c r="F24" i="13"/>
  <c r="F23" i="13"/>
  <c r="F22" i="13"/>
  <c r="F21" i="13"/>
  <c r="F38" i="12"/>
  <c r="F37" i="12"/>
  <c r="F36" i="12"/>
  <c r="F35" i="12"/>
  <c r="F34" i="12"/>
  <c r="F33" i="12"/>
  <c r="F32" i="12"/>
  <c r="F31" i="12"/>
  <c r="F30" i="12"/>
  <c r="F29" i="12"/>
  <c r="E3" i="38"/>
  <c r="C9" i="43" l="1"/>
  <c r="E22" i="33"/>
  <c r="F22" i="33" s="1"/>
  <c r="F44" i="5"/>
  <c r="I39" i="5"/>
  <c r="E17" i="22"/>
  <c r="F17" i="22" s="1"/>
  <c r="I44" i="5"/>
  <c r="E18" i="18"/>
  <c r="F18" i="18" s="1"/>
  <c r="L44" i="5"/>
  <c r="J44" i="5"/>
  <c r="L39" i="5"/>
  <c r="K39" i="5"/>
  <c r="F21" i="19" s="1"/>
  <c r="J39" i="5"/>
  <c r="G4" i="5"/>
  <c r="L4" i="5"/>
  <c r="K4" i="5"/>
  <c r="H4" i="5"/>
  <c r="K47" i="5"/>
  <c r="L46" i="5"/>
  <c r="F46" i="5"/>
  <c r="H46" i="5"/>
  <c r="L47" i="5"/>
  <c r="K46" i="5"/>
  <c r="L11" i="5"/>
  <c r="I11" i="5"/>
  <c r="H11" i="5"/>
  <c r="I12" i="5"/>
  <c r="L12" i="5"/>
  <c r="K12" i="5"/>
  <c r="H12" i="5"/>
  <c r="E16" i="19" s="1"/>
  <c r="F12" i="5"/>
  <c r="E16" i="22" s="1"/>
  <c r="J12" i="5"/>
  <c r="I47" i="5"/>
  <c r="J47" i="5"/>
  <c r="G11" i="5"/>
  <c r="J11" i="5"/>
  <c r="K11" i="5"/>
  <c r="F11" i="5"/>
  <c r="E15" i="22" s="1"/>
  <c r="F39" i="5"/>
  <c r="G39" i="5"/>
  <c r="I20" i="5"/>
  <c r="F20" i="5"/>
  <c r="H20" i="5"/>
  <c r="G20" i="5"/>
  <c r="L20" i="5"/>
  <c r="K20" i="5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E41" i="5"/>
  <c r="F41" i="5" s="1"/>
  <c r="I41" i="5"/>
  <c r="J41" i="5"/>
  <c r="M41" i="5"/>
  <c r="E9" i="5"/>
  <c r="K9" i="5" s="1"/>
  <c r="I9" i="5"/>
  <c r="J9" i="5"/>
  <c r="M9" i="5"/>
  <c r="F30" i="9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26" i="8"/>
  <c r="F25" i="8"/>
  <c r="F24" i="8"/>
  <c r="F23" i="8"/>
  <c r="F22" i="8"/>
  <c r="F21" i="8"/>
  <c r="G8" i="5"/>
  <c r="G14" i="5"/>
  <c r="G22" i="5"/>
  <c r="G23" i="5"/>
  <c r="G29" i="5"/>
  <c r="G37" i="5"/>
  <c r="G48" i="5"/>
  <c r="G49" i="5"/>
  <c r="H8" i="5"/>
  <c r="H14" i="5"/>
  <c r="H22" i="5"/>
  <c r="H23" i="5"/>
  <c r="H29" i="5"/>
  <c r="H37" i="5"/>
  <c r="H48" i="5"/>
  <c r="H49" i="5"/>
  <c r="I3" i="5"/>
  <c r="I6" i="5"/>
  <c r="I8" i="5"/>
  <c r="I10" i="5"/>
  <c r="I13" i="5"/>
  <c r="I14" i="5"/>
  <c r="I16" i="5"/>
  <c r="I22" i="5"/>
  <c r="I23" i="5"/>
  <c r="I25" i="5"/>
  <c r="I30" i="5"/>
  <c r="I31" i="5"/>
  <c r="I40" i="5"/>
  <c r="I43" i="5"/>
  <c r="I45" i="5"/>
  <c r="I50" i="5"/>
  <c r="I17" i="5"/>
  <c r="J3" i="5"/>
  <c r="J6" i="5"/>
  <c r="J8" i="5"/>
  <c r="J10" i="5"/>
  <c r="J13" i="5"/>
  <c r="J14" i="5"/>
  <c r="J16" i="5"/>
  <c r="J22" i="5"/>
  <c r="J23" i="5"/>
  <c r="J25" i="5"/>
  <c r="J30" i="5"/>
  <c r="J31" i="5"/>
  <c r="J40" i="5"/>
  <c r="J43" i="5"/>
  <c r="J45" i="5"/>
  <c r="J50" i="5"/>
  <c r="J17" i="5"/>
  <c r="K8" i="5"/>
  <c r="K14" i="5"/>
  <c r="K22" i="5"/>
  <c r="K23" i="5"/>
  <c r="L8" i="5"/>
  <c r="L14" i="5"/>
  <c r="L22" i="5"/>
  <c r="L23" i="5"/>
  <c r="M3" i="5"/>
  <c r="M6" i="5"/>
  <c r="M10" i="5"/>
  <c r="M13" i="5"/>
  <c r="M15" i="5"/>
  <c r="M25" i="5"/>
  <c r="M29" i="5"/>
  <c r="M30" i="5"/>
  <c r="M31" i="5"/>
  <c r="M32" i="5"/>
  <c r="M33" i="5"/>
  <c r="M37" i="5"/>
  <c r="M43" i="5"/>
  <c r="M45" i="5"/>
  <c r="M48" i="5"/>
  <c r="M49" i="5"/>
  <c r="M50" i="5"/>
  <c r="M17" i="5"/>
  <c r="E14" i="5"/>
  <c r="M14" i="5" s="1"/>
  <c r="E17" i="5"/>
  <c r="G17" i="5" s="1"/>
  <c r="E26" i="33" s="1"/>
  <c r="F26" i="33" s="1"/>
  <c r="F14" i="5"/>
  <c r="E15" i="5"/>
  <c r="F15" i="5" s="1"/>
  <c r="E48" i="5"/>
  <c r="F48" i="5" s="1"/>
  <c r="E29" i="5"/>
  <c r="I29" i="5" s="1"/>
  <c r="E31" i="5"/>
  <c r="G31" i="5" s="1"/>
  <c r="E30" i="5"/>
  <c r="G30" i="5" s="1"/>
  <c r="E3" i="5"/>
  <c r="G3" i="5" s="1"/>
  <c r="E6" i="5"/>
  <c r="K6" i="5" s="1"/>
  <c r="E8" i="5"/>
  <c r="M8" i="5" s="1"/>
  <c r="E10" i="5"/>
  <c r="G10" i="5" s="1"/>
  <c r="E15" i="47" s="1"/>
  <c r="F15" i="47" s="1"/>
  <c r="E13" i="5"/>
  <c r="G13" i="5" s="1"/>
  <c r="E16" i="5"/>
  <c r="M16" i="5" s="1"/>
  <c r="E22" i="5"/>
  <c r="M22" i="5" s="1"/>
  <c r="E18" i="47" s="1"/>
  <c r="F18" i="47" s="1"/>
  <c r="E23" i="5"/>
  <c r="M23" i="5" s="1"/>
  <c r="E24" i="5"/>
  <c r="M24" i="5" s="1"/>
  <c r="E25" i="5"/>
  <c r="G25" i="5" s="1"/>
  <c r="E32" i="5"/>
  <c r="G32" i="5" s="1"/>
  <c r="E33" i="5"/>
  <c r="G33" i="5" s="1"/>
  <c r="E37" i="5"/>
  <c r="K37" i="5" s="1"/>
  <c r="E40" i="5"/>
  <c r="E43" i="5"/>
  <c r="G43" i="5" s="1"/>
  <c r="E45" i="5"/>
  <c r="G45" i="5" s="1"/>
  <c r="E14" i="47" s="1"/>
  <c r="F14" i="47" s="1"/>
  <c r="E50" i="5"/>
  <c r="G50" i="5" s="1"/>
  <c r="E49" i="5"/>
  <c r="I49" i="5" s="1"/>
  <c r="F8" i="5"/>
  <c r="F22" i="5"/>
  <c r="F23" i="5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3" i="38"/>
  <c r="E13" i="21" l="1"/>
  <c r="H16" i="5"/>
  <c r="K16" i="5"/>
  <c r="L16" i="5"/>
  <c r="F16" i="5"/>
  <c r="G16" i="5"/>
  <c r="H24" i="5"/>
  <c r="J24" i="5"/>
  <c r="K24" i="5"/>
  <c r="E22" i="32" s="1"/>
  <c r="F22" i="32" s="1"/>
  <c r="I24" i="5"/>
  <c r="F24" i="5"/>
  <c r="E17" i="31"/>
  <c r="F17" i="31" s="1"/>
  <c r="E19" i="33"/>
  <c r="F19" i="33" s="1"/>
  <c r="E17" i="30"/>
  <c r="F17" i="30" s="1"/>
  <c r="E21" i="32"/>
  <c r="F21" i="32" s="1"/>
  <c r="E17" i="32"/>
  <c r="F17" i="32" s="1"/>
  <c r="E15" i="33"/>
  <c r="F15" i="33" s="1"/>
  <c r="G24" i="5"/>
  <c r="L24" i="5"/>
  <c r="E19" i="47" s="1"/>
  <c r="F19" i="47" s="1"/>
  <c r="E18" i="31"/>
  <c r="F18" i="31" s="1"/>
  <c r="E19" i="31"/>
  <c r="F19" i="31" s="1"/>
  <c r="E16" i="6"/>
  <c r="F16" i="6" s="1"/>
  <c r="E17" i="9"/>
  <c r="F17" i="9" s="1"/>
  <c r="E14" i="9"/>
  <c r="F14" i="9" s="1"/>
  <c r="E17" i="15"/>
  <c r="F17" i="15" s="1"/>
  <c r="E21" i="7"/>
  <c r="F21" i="7" s="1"/>
  <c r="E20" i="18"/>
  <c r="F20" i="18" s="1"/>
  <c r="E15" i="3"/>
  <c r="F15" i="3" s="1"/>
  <c r="E17" i="12"/>
  <c r="F17" i="12" s="1"/>
  <c r="E18" i="15"/>
  <c r="F18" i="15" s="1"/>
  <c r="E14" i="17"/>
  <c r="F14" i="17" s="1"/>
  <c r="E13" i="8"/>
  <c r="F13" i="8" s="1"/>
  <c r="E19" i="9"/>
  <c r="F19" i="9" s="1"/>
  <c r="E14" i="15"/>
  <c r="F14" i="15" s="1"/>
  <c r="E22" i="7"/>
  <c r="F22" i="7" s="1"/>
  <c r="E15" i="16"/>
  <c r="F15" i="16" s="1"/>
  <c r="E28" i="12"/>
  <c r="F28" i="12" s="1"/>
  <c r="E12" i="6"/>
  <c r="F12" i="6" s="1"/>
  <c r="E23" i="9"/>
  <c r="F23" i="9" s="1"/>
  <c r="E12" i="11"/>
  <c r="F12" i="11" s="1"/>
  <c r="E21" i="12"/>
  <c r="F21" i="12" s="1"/>
  <c r="E19" i="14"/>
  <c r="F19" i="14" s="1"/>
  <c r="E27" i="12"/>
  <c r="F27" i="12" s="1"/>
  <c r="E14" i="3"/>
  <c r="F14" i="3" s="1"/>
  <c r="E20" i="15"/>
  <c r="F20" i="15" s="1"/>
  <c r="E15" i="14"/>
  <c r="F15" i="14" s="1"/>
  <c r="E14" i="12"/>
  <c r="F14" i="12" s="1"/>
  <c r="E13" i="16"/>
  <c r="F13" i="16" s="1"/>
  <c r="E14" i="7"/>
  <c r="F14" i="7" s="1"/>
  <c r="E23" i="7"/>
  <c r="F23" i="7" s="1"/>
  <c r="E23" i="12"/>
  <c r="F23" i="12" s="1"/>
  <c r="E24" i="7"/>
  <c r="F24" i="7" s="1"/>
  <c r="E15" i="11"/>
  <c r="F15" i="11" s="1"/>
  <c r="E16" i="12"/>
  <c r="F16" i="12" s="1"/>
  <c r="E17" i="13"/>
  <c r="F17" i="13" s="1"/>
  <c r="E24" i="9"/>
  <c r="F24" i="9" s="1"/>
  <c r="E28" i="9"/>
  <c r="F28" i="9" s="1"/>
  <c r="E26" i="12"/>
  <c r="F26" i="12" s="1"/>
  <c r="E19" i="15"/>
  <c r="F19" i="15" s="1"/>
  <c r="E13" i="6"/>
  <c r="F13" i="6" s="1"/>
  <c r="E13" i="7"/>
  <c r="F13" i="7" s="1"/>
  <c r="E15" i="6"/>
  <c r="F15" i="6" s="1"/>
  <c r="E26" i="9"/>
  <c r="F26" i="9" s="1"/>
  <c r="E17" i="16"/>
  <c r="F17" i="16" s="1"/>
  <c r="E21" i="15"/>
  <c r="F21" i="15" s="1"/>
  <c r="E20" i="8"/>
  <c r="F20" i="8" s="1"/>
  <c r="E16" i="11"/>
  <c r="F16" i="11" s="1"/>
  <c r="E25" i="12"/>
  <c r="F25" i="12" s="1"/>
  <c r="E14" i="22"/>
  <c r="F14" i="22" s="1"/>
  <c r="E18" i="7"/>
  <c r="F18" i="7" s="1"/>
  <c r="E18" i="12"/>
  <c r="F18" i="12" s="1"/>
  <c r="E19" i="12"/>
  <c r="F19" i="12" s="1"/>
  <c r="E17" i="10"/>
  <c r="F17" i="10" s="1"/>
  <c r="E19" i="13"/>
  <c r="F19" i="13" s="1"/>
  <c r="E17" i="18"/>
  <c r="F17" i="18" s="1"/>
  <c r="E17" i="7"/>
  <c r="F17" i="7" s="1"/>
  <c r="E26" i="7"/>
  <c r="F26" i="7" s="1"/>
  <c r="E12" i="15"/>
  <c r="E22" i="12"/>
  <c r="F22" i="12" s="1"/>
  <c r="E20" i="12"/>
  <c r="F20" i="12" s="1"/>
  <c r="E13" i="12"/>
  <c r="F13" i="12" s="1"/>
  <c r="E20" i="13"/>
  <c r="F20" i="13" s="1"/>
  <c r="E13" i="22"/>
  <c r="F13" i="22" s="1"/>
  <c r="E13" i="19"/>
  <c r="F13" i="19" s="1"/>
  <c r="E14" i="11"/>
  <c r="F14" i="11" s="1"/>
  <c r="E24" i="12"/>
  <c r="F24" i="12" s="1"/>
  <c r="E18" i="13"/>
  <c r="F18" i="13" s="1"/>
  <c r="E27" i="9"/>
  <c r="F27" i="9" s="1"/>
  <c r="E14" i="18"/>
  <c r="F14" i="18" s="1"/>
  <c r="E19" i="7"/>
  <c r="F19" i="7" s="1"/>
  <c r="E18" i="10"/>
  <c r="F18" i="10" s="1"/>
  <c r="E15" i="17"/>
  <c r="F15" i="17" s="1"/>
  <c r="E15" i="7"/>
  <c r="F15" i="7" s="1"/>
  <c r="E15" i="12"/>
  <c r="F15" i="12" s="1"/>
  <c r="E12" i="8"/>
  <c r="F12" i="8" s="1"/>
  <c r="E20" i="9"/>
  <c r="F20" i="9" s="1"/>
  <c r="E17" i="11"/>
  <c r="F17" i="11" s="1"/>
  <c r="E15" i="15"/>
  <c r="F15" i="15" s="1"/>
  <c r="E18" i="6"/>
  <c r="F18" i="6" s="1"/>
  <c r="E13" i="9"/>
  <c r="F13" i="9" s="1"/>
  <c r="E12" i="12"/>
  <c r="F12" i="12" s="1"/>
  <c r="E17" i="14"/>
  <c r="F17" i="14" s="1"/>
  <c r="E12" i="3"/>
  <c r="F12" i="3" s="1"/>
  <c r="E15" i="9"/>
  <c r="F15" i="9" s="1"/>
  <c r="E14" i="16"/>
  <c r="F14" i="16" s="1"/>
  <c r="E12" i="13"/>
  <c r="F12" i="13" s="1"/>
  <c r="E14" i="6"/>
  <c r="F14" i="6" s="1"/>
  <c r="F16" i="19"/>
  <c r="M40" i="5"/>
  <c r="K40" i="5"/>
  <c r="H40" i="5"/>
  <c r="F40" i="5"/>
  <c r="G40" i="5"/>
  <c r="E17" i="8" s="1"/>
  <c r="L40" i="5"/>
  <c r="F9" i="5"/>
  <c r="H9" i="5"/>
  <c r="G9" i="5"/>
  <c r="E13" i="33" s="1"/>
  <c r="F13" i="33" s="1"/>
  <c r="L9" i="5"/>
  <c r="F16" i="22"/>
  <c r="F15" i="22"/>
  <c r="L41" i="5"/>
  <c r="K41" i="5"/>
  <c r="H41" i="5"/>
  <c r="G41" i="5"/>
  <c r="J32" i="5"/>
  <c r="E12" i="17" s="1"/>
  <c r="I32" i="5"/>
  <c r="I33" i="5"/>
  <c r="J33" i="5"/>
  <c r="F29" i="5"/>
  <c r="F3" i="5"/>
  <c r="F50" i="5"/>
  <c r="F31" i="5"/>
  <c r="E13" i="17" s="1"/>
  <c r="L31" i="5"/>
  <c r="L33" i="5"/>
  <c r="H6" i="5"/>
  <c r="E14" i="19" s="1"/>
  <c r="L32" i="5"/>
  <c r="L3" i="5"/>
  <c r="E21" i="47" s="1"/>
  <c r="F21" i="47" s="1"/>
  <c r="K50" i="5"/>
  <c r="K33" i="5"/>
  <c r="E16" i="47" s="1"/>
  <c r="F16" i="47" s="1"/>
  <c r="K3" i="5"/>
  <c r="G6" i="5"/>
  <c r="L17" i="5"/>
  <c r="K32" i="5"/>
  <c r="L50" i="5"/>
  <c r="J37" i="5"/>
  <c r="E22" i="47" s="1"/>
  <c r="F22" i="47" s="1"/>
  <c r="L49" i="5"/>
  <c r="K49" i="5"/>
  <c r="K31" i="5"/>
  <c r="F17" i="19" s="1"/>
  <c r="H33" i="5"/>
  <c r="H3" i="5"/>
  <c r="L48" i="5"/>
  <c r="E20" i="31" s="1"/>
  <c r="F20" i="31" s="1"/>
  <c r="L30" i="5"/>
  <c r="L15" i="5"/>
  <c r="K48" i="5"/>
  <c r="F20" i="19" s="1"/>
  <c r="K30" i="5"/>
  <c r="K15" i="5"/>
  <c r="J49" i="5"/>
  <c r="H50" i="5"/>
  <c r="H32" i="5"/>
  <c r="I37" i="5"/>
  <c r="L45" i="5"/>
  <c r="L29" i="5"/>
  <c r="L13" i="5"/>
  <c r="K45" i="5"/>
  <c r="K29" i="5"/>
  <c r="K13" i="5"/>
  <c r="J48" i="5"/>
  <c r="J15" i="5"/>
  <c r="H31" i="5"/>
  <c r="L43" i="5"/>
  <c r="L25" i="5"/>
  <c r="L10" i="5"/>
  <c r="K43" i="5"/>
  <c r="K25" i="5"/>
  <c r="K10" i="5"/>
  <c r="J29" i="5"/>
  <c r="I48" i="5"/>
  <c r="I15" i="5"/>
  <c r="H30" i="5"/>
  <c r="H15" i="5"/>
  <c r="G15" i="5"/>
  <c r="F19" i="6" s="1"/>
  <c r="H45" i="5"/>
  <c r="H13" i="5"/>
  <c r="L37" i="5"/>
  <c r="L6" i="5"/>
  <c r="H43" i="5"/>
  <c r="H25" i="5"/>
  <c r="E12" i="47" s="1"/>
  <c r="F12" i="47" s="1"/>
  <c r="H10" i="5"/>
  <c r="K17" i="5"/>
  <c r="F17" i="5"/>
  <c r="H17" i="5"/>
  <c r="F32" i="5"/>
  <c r="F30" i="5"/>
  <c r="F10" i="5"/>
  <c r="F33" i="5"/>
  <c r="F13" i="5"/>
  <c r="F37" i="5"/>
  <c r="F49" i="5"/>
  <c r="E20" i="47" s="1"/>
  <c r="F20" i="47" s="1"/>
  <c r="F25" i="5"/>
  <c r="E12" i="33" s="1"/>
  <c r="F12" i="33" s="1"/>
  <c r="F6" i="5"/>
  <c r="F45" i="5"/>
  <c r="F43" i="5"/>
  <c r="C4" i="47" l="1"/>
  <c r="C7" i="47" s="1"/>
  <c r="E27" i="33"/>
  <c r="F27" i="33" s="1"/>
  <c r="E23" i="33"/>
  <c r="F23" i="33" s="1"/>
  <c r="E17" i="33"/>
  <c r="F17" i="33" s="1"/>
  <c r="E18" i="30"/>
  <c r="F18" i="30" s="1"/>
  <c r="E21" i="33"/>
  <c r="F21" i="33" s="1"/>
  <c r="E15" i="30"/>
  <c r="F15" i="30" s="1"/>
  <c r="E18" i="33"/>
  <c r="F18" i="33" s="1"/>
  <c r="E20" i="32"/>
  <c r="F20" i="32" s="1"/>
  <c r="E13" i="31"/>
  <c r="F13" i="31" s="1"/>
  <c r="E14" i="32"/>
  <c r="F14" i="32" s="1"/>
  <c r="E14" i="31"/>
  <c r="F14" i="31" s="1"/>
  <c r="E18" i="32"/>
  <c r="F18" i="32" s="1"/>
  <c r="E16" i="33"/>
  <c r="F16" i="33" s="1"/>
  <c r="E21" i="31"/>
  <c r="F21" i="31" s="1"/>
  <c r="E20" i="30"/>
  <c r="F20" i="30" s="1"/>
  <c r="E23" i="32"/>
  <c r="F23" i="32" s="1"/>
  <c r="E12" i="31"/>
  <c r="F12" i="31" s="1"/>
  <c r="E13" i="32"/>
  <c r="F13" i="32" s="1"/>
  <c r="E16" i="30"/>
  <c r="F16" i="30" s="1"/>
  <c r="E19" i="32"/>
  <c r="F19" i="32" s="1"/>
  <c r="E22" i="31"/>
  <c r="F22" i="31" s="1"/>
  <c r="E15" i="32"/>
  <c r="F15" i="32" s="1"/>
  <c r="E19" i="30"/>
  <c r="F19" i="30" s="1"/>
  <c r="E16" i="32"/>
  <c r="F16" i="32" s="1"/>
  <c r="E14" i="33"/>
  <c r="F14" i="33" s="1"/>
  <c r="E15" i="31"/>
  <c r="F15" i="31" s="1"/>
  <c r="E16" i="31"/>
  <c r="F16" i="31" s="1"/>
  <c r="E19" i="16"/>
  <c r="F19" i="16" s="1"/>
  <c r="E16" i="10"/>
  <c r="F16" i="10" s="1"/>
  <c r="E12" i="14"/>
  <c r="F12" i="14" s="1"/>
  <c r="E25" i="7"/>
  <c r="F25" i="7" s="1"/>
  <c r="E16" i="13"/>
  <c r="F16" i="13" s="1"/>
  <c r="E12" i="7"/>
  <c r="F12" i="7" s="1"/>
  <c r="E15" i="19"/>
  <c r="F15" i="19" s="1"/>
  <c r="F19" i="19"/>
  <c r="E13" i="10"/>
  <c r="F13" i="10" s="1"/>
  <c r="E17" i="3"/>
  <c r="F17" i="3" s="1"/>
  <c r="E14" i="13"/>
  <c r="F14" i="13" s="1"/>
  <c r="E16" i="18"/>
  <c r="F16" i="18" s="1"/>
  <c r="E19" i="18"/>
  <c r="F19" i="18" s="1"/>
  <c r="E16" i="8"/>
  <c r="F16" i="8" s="1"/>
  <c r="E29" i="9"/>
  <c r="F29" i="9" s="1"/>
  <c r="E14" i="8"/>
  <c r="F14" i="8" s="1"/>
  <c r="E18" i="9"/>
  <c r="F18" i="9" s="1"/>
  <c r="E14" i="10"/>
  <c r="F14" i="10" s="1"/>
  <c r="E18" i="16"/>
  <c r="F18" i="16" s="1"/>
  <c r="E14" i="30"/>
  <c r="F14" i="30" s="1"/>
  <c r="E17" i="6"/>
  <c r="F17" i="6" s="1"/>
  <c r="C4" i="6" s="1"/>
  <c r="C7" i="6" s="1"/>
  <c r="E20" i="7"/>
  <c r="F20" i="7" s="1"/>
  <c r="E22" i="9"/>
  <c r="F22" i="9" s="1"/>
  <c r="E19" i="11"/>
  <c r="F19" i="11" s="1"/>
  <c r="E13" i="13"/>
  <c r="F13" i="13" s="1"/>
  <c r="E18" i="14"/>
  <c r="F18" i="14" s="1"/>
  <c r="E25" i="9"/>
  <c r="F25" i="9" s="1"/>
  <c r="E16" i="7"/>
  <c r="F16" i="7" s="1"/>
  <c r="E16" i="9"/>
  <c r="F16" i="9" s="1"/>
  <c r="E12" i="9"/>
  <c r="F12" i="9" s="1"/>
  <c r="E13" i="11"/>
  <c r="F13" i="11" s="1"/>
  <c r="E15" i="13"/>
  <c r="F15" i="13" s="1"/>
  <c r="E15" i="10"/>
  <c r="F15" i="10" s="1"/>
  <c r="E21" i="9"/>
  <c r="F21" i="9" s="1"/>
  <c r="E18" i="11"/>
  <c r="F18" i="11" s="1"/>
  <c r="F12" i="18"/>
  <c r="E19" i="8"/>
  <c r="F19" i="8" s="1"/>
  <c r="E15" i="8"/>
  <c r="F15" i="8" s="1"/>
  <c r="E13" i="14"/>
  <c r="F13" i="14" s="1"/>
  <c r="E13" i="15"/>
  <c r="F13" i="15" s="1"/>
  <c r="E13" i="3"/>
  <c r="F13" i="3" s="1"/>
  <c r="E12" i="16"/>
  <c r="F12" i="16" s="1"/>
  <c r="F13" i="21"/>
  <c r="C4" i="21" s="1"/>
  <c r="C7" i="21" s="1"/>
  <c r="E16" i="16"/>
  <c r="F16" i="16" s="1"/>
  <c r="E15" i="18"/>
  <c r="F15" i="18" s="1"/>
  <c r="E13" i="30"/>
  <c r="F13" i="30" s="1"/>
  <c r="E16" i="14"/>
  <c r="F16" i="14" s="1"/>
  <c r="E12" i="10"/>
  <c r="F12" i="10" s="1"/>
  <c r="E13" i="18"/>
  <c r="F13" i="18" s="1"/>
  <c r="E18" i="8"/>
  <c r="F18" i="8" s="1"/>
  <c r="E12" i="30"/>
  <c r="F12" i="30" s="1"/>
  <c r="E16" i="3"/>
  <c r="F16" i="3" s="1"/>
  <c r="F17" i="8"/>
  <c r="F14" i="19"/>
  <c r="F12" i="17"/>
  <c r="F18" i="19"/>
  <c r="F18" i="22"/>
  <c r="F20" i="22"/>
  <c r="F12" i="15"/>
  <c r="C4" i="12"/>
  <c r="C7" i="12" s="1"/>
  <c r="D25" i="38"/>
  <c r="B25" i="38" l="1"/>
  <c r="C8" i="21"/>
  <c r="C8" i="12"/>
  <c r="C8" i="6"/>
  <c r="C8" i="47"/>
  <c r="I16" i="30"/>
  <c r="C4" i="33"/>
  <c r="C7" i="33" s="1"/>
  <c r="C4" i="32"/>
  <c r="C7" i="32" s="1"/>
  <c r="C4" i="31"/>
  <c r="C7" i="31" s="1"/>
  <c r="C4" i="30"/>
  <c r="C7" i="30" s="1"/>
  <c r="C4" i="3"/>
  <c r="C7" i="3" s="1"/>
  <c r="C4" i="19"/>
  <c r="C7" i="19" s="1"/>
  <c r="C4" i="22"/>
  <c r="C7" i="22" s="1"/>
  <c r="C4" i="9"/>
  <c r="C7" i="9" s="1"/>
  <c r="C4" i="14"/>
  <c r="C7" i="14" s="1"/>
  <c r="C4" i="15"/>
  <c r="C7" i="15" s="1"/>
  <c r="C4" i="16"/>
  <c r="C7" i="16" s="1"/>
  <c r="C4" i="13"/>
  <c r="C7" i="13" s="1"/>
  <c r="C4" i="11"/>
  <c r="C7" i="11" s="1"/>
  <c r="C4" i="10"/>
  <c r="C7" i="10" s="1"/>
  <c r="C4" i="18"/>
  <c r="C4" i="7"/>
  <c r="C7" i="7" s="1"/>
  <c r="C4" i="8"/>
  <c r="C7" i="8" s="1"/>
  <c r="F13" i="17"/>
  <c r="C4" i="17" s="1"/>
  <c r="C7" i="17" s="1"/>
  <c r="D4" i="38"/>
  <c r="D7" i="38"/>
  <c r="D9" i="38"/>
  <c r="E25" i="38"/>
  <c r="D14" i="38"/>
  <c r="D16" i="38"/>
  <c r="D22" i="38"/>
  <c r="D18" i="38"/>
  <c r="D11" i="38"/>
  <c r="D6" i="38"/>
  <c r="D15" i="38"/>
  <c r="D23" i="38"/>
  <c r="D17" i="38"/>
  <c r="D8" i="38"/>
  <c r="D10" i="38"/>
  <c r="D19" i="38"/>
  <c r="D24" i="38"/>
  <c r="D5" i="38"/>
  <c r="D12" i="38"/>
  <c r="D13" i="38"/>
  <c r="B10" i="38" l="1"/>
  <c r="B15" i="38"/>
  <c r="B4" i="38"/>
  <c r="B16" i="38"/>
  <c r="B9" i="38"/>
  <c r="B19" i="38"/>
  <c r="B7" i="38"/>
  <c r="B17" i="38"/>
  <c r="B6" i="38"/>
  <c r="B22" i="38"/>
  <c r="B14" i="38"/>
  <c r="B24" i="38"/>
  <c r="B18" i="38"/>
  <c r="B5" i="38"/>
  <c r="B23" i="38"/>
  <c r="B8" i="38"/>
  <c r="B12" i="38"/>
  <c r="B11" i="38"/>
  <c r="B13" i="38"/>
  <c r="C8" i="10"/>
  <c r="C8" i="3"/>
  <c r="C8" i="16"/>
  <c r="C8" i="31"/>
  <c r="C9" i="47"/>
  <c r="C9" i="6"/>
  <c r="C8" i="13"/>
  <c r="C8" i="15"/>
  <c r="C8" i="32"/>
  <c r="C8" i="22"/>
  <c r="C8" i="11"/>
  <c r="C9" i="12"/>
  <c r="C8" i="17"/>
  <c r="C8" i="14"/>
  <c r="C8" i="33"/>
  <c r="C8" i="19"/>
  <c r="C8" i="30"/>
  <c r="C9" i="21"/>
  <c r="C8" i="8"/>
  <c r="C8" i="7"/>
  <c r="C8" i="9"/>
  <c r="C7" i="18"/>
  <c r="E23" i="38"/>
  <c r="E8" i="38"/>
  <c r="E15" i="38"/>
  <c r="E19" i="38"/>
  <c r="D20" i="38"/>
  <c r="E24" i="38"/>
  <c r="D21" i="38"/>
  <c r="E12" i="38"/>
  <c r="E22" i="38"/>
  <c r="E10" i="38"/>
  <c r="E14" i="38"/>
  <c r="E18" i="38"/>
  <c r="E13" i="38"/>
  <c r="E9" i="38"/>
  <c r="E7" i="38"/>
  <c r="E5" i="38"/>
  <c r="E6" i="38"/>
  <c r="E17" i="38"/>
  <c r="E16" i="38"/>
  <c r="E4" i="38"/>
  <c r="E11" i="38"/>
  <c r="F25" i="38"/>
  <c r="B20" i="38" l="1"/>
  <c r="B21" i="38"/>
  <c r="C8" i="18"/>
  <c r="C9" i="14"/>
  <c r="C9" i="11"/>
  <c r="C9" i="13"/>
  <c r="C9" i="9"/>
  <c r="C9" i="31"/>
  <c r="C9" i="16"/>
  <c r="C9" i="22"/>
  <c r="C9" i="3"/>
  <c r="C9" i="7"/>
  <c r="C9" i="8"/>
  <c r="C9" i="30"/>
  <c r="C9" i="32"/>
  <c r="C9" i="10"/>
  <c r="C9" i="33"/>
  <c r="C9" i="17"/>
  <c r="C9" i="19"/>
  <c r="C9" i="15"/>
  <c r="F17" i="38"/>
  <c r="F9" i="38"/>
  <c r="F16" i="38"/>
  <c r="F4" i="38"/>
  <c r="F13" i="38"/>
  <c r="F7" i="38"/>
  <c r="F15" i="38"/>
  <c r="F6" i="38"/>
  <c r="E20" i="38"/>
  <c r="F18" i="38"/>
  <c r="F23" i="38"/>
  <c r="E21" i="38"/>
  <c r="F5" i="38"/>
  <c r="F24" i="38"/>
  <c r="F10" i="38"/>
  <c r="F22" i="38"/>
  <c r="F8" i="38"/>
  <c r="F12" i="38"/>
  <c r="F11" i="38"/>
  <c r="F14" i="38"/>
  <c r="F19" i="38"/>
  <c r="C9" i="18" l="1"/>
  <c r="F20" i="38"/>
  <c r="F21" i="38"/>
</calcChain>
</file>

<file path=xl/sharedStrings.xml><?xml version="1.0" encoding="utf-8"?>
<sst xmlns="http://schemas.openxmlformats.org/spreadsheetml/2006/main" count="967" uniqueCount="160">
  <si>
    <t>UNITS OF MEASUREMENT</t>
  </si>
  <si>
    <t>CUPS</t>
  </si>
  <si>
    <t>GRAMS</t>
  </si>
  <si>
    <t>KILOGRAMS</t>
  </si>
  <si>
    <t>LITRE</t>
  </si>
  <si>
    <t>mL</t>
  </si>
  <si>
    <t>TABLESPOON</t>
  </si>
  <si>
    <t>TEASPOON</t>
  </si>
  <si>
    <t>UNIT</t>
  </si>
  <si>
    <t>PRICE PER QUANTITY</t>
  </si>
  <si>
    <t>QUANTITY</t>
  </si>
  <si>
    <t>UNIT OF MEASUREMENT</t>
  </si>
  <si>
    <t>PRICE</t>
  </si>
  <si>
    <t>PRICE PER QTY</t>
  </si>
  <si>
    <t>BAKING POWDER</t>
  </si>
  <si>
    <t>BAKING SODA</t>
  </si>
  <si>
    <t>BEEF</t>
  </si>
  <si>
    <t>BREAD</t>
  </si>
  <si>
    <t>BROWN SUGAR</t>
  </si>
  <si>
    <t>BUTTER</t>
  </si>
  <si>
    <t>CHICKEN</t>
  </si>
  <si>
    <t>CHOCOLATE</t>
  </si>
  <si>
    <t>CHOCOLATE CHIPS</t>
  </si>
  <si>
    <t>CINNAMON STICK</t>
  </si>
  <si>
    <t>COCOA</t>
  </si>
  <si>
    <t>CORN STARCH</t>
  </si>
  <si>
    <t>EGGS</t>
  </si>
  <si>
    <t>FISH</t>
  </si>
  <si>
    <t>FLAVOUR</t>
  </si>
  <si>
    <t>FLOUR</t>
  </si>
  <si>
    <t>HONEY</t>
  </si>
  <si>
    <t>JAM</t>
  </si>
  <si>
    <t>KETCHUP</t>
  </si>
  <si>
    <t>MAYONAISE</t>
  </si>
  <si>
    <t>ml</t>
  </si>
  <si>
    <t>MILK</t>
  </si>
  <si>
    <t>OIL</t>
  </si>
  <si>
    <t>POTATO</t>
  </si>
  <si>
    <t>POWDER SUGAR</t>
  </si>
  <si>
    <t>SALT</t>
  </si>
  <si>
    <t>SUGAR</t>
  </si>
  <si>
    <t>SYRUP</t>
  </si>
  <si>
    <t>VINEGAR</t>
  </si>
  <si>
    <t>WATER</t>
  </si>
  <si>
    <t>YEAST</t>
  </si>
  <si>
    <t>PEPPER</t>
  </si>
  <si>
    <t>CABBAGE</t>
  </si>
  <si>
    <t>CARROT</t>
  </si>
  <si>
    <t>COFFEE CUP</t>
  </si>
  <si>
    <t>SPRITE</t>
  </si>
  <si>
    <t>NESCAFE</t>
  </si>
  <si>
    <t>HOLLANDIA EVAP</t>
  </si>
  <si>
    <t>toast cream</t>
  </si>
  <si>
    <t>RECIPE NAME</t>
  </si>
  <si>
    <t>BAGUETTE</t>
  </si>
  <si>
    <t>ESTIMATED YIELD</t>
  </si>
  <si>
    <t>TOTAL COST</t>
  </si>
  <si>
    <t>PERCENTAGE MARK UP</t>
  </si>
  <si>
    <t>NO. OF SERVINGS</t>
  </si>
  <si>
    <t>TARGET SALES PRICE</t>
  </si>
  <si>
    <t>S/N</t>
  </si>
  <si>
    <t>INGREDIENTS</t>
  </si>
  <si>
    <t>INGREDIENT COST PER UNIT OF MESUREMENT</t>
  </si>
  <si>
    <t>BROWNIES</t>
  </si>
  <si>
    <t>CHOCOLATE CHIP</t>
  </si>
  <si>
    <t>CINNAMON ROLLS</t>
  </si>
  <si>
    <t>EGG</t>
  </si>
  <si>
    <t>MEATPIE</t>
  </si>
  <si>
    <t>COFFE CAKE</t>
  </si>
  <si>
    <t>CUPCAKE</t>
  </si>
  <si>
    <t>ML</t>
  </si>
  <si>
    <t>BOMBOLINI</t>
  </si>
  <si>
    <t>grams</t>
  </si>
  <si>
    <t>Butter</t>
  </si>
  <si>
    <t>FISH ROLL</t>
  </si>
  <si>
    <t>MUFFINS</t>
  </si>
  <si>
    <t>CROISSANT</t>
  </si>
  <si>
    <t>BREADROLLS</t>
  </si>
  <si>
    <t>water</t>
  </si>
  <si>
    <t>cups</t>
  </si>
  <si>
    <t>DOUGHNUT</t>
  </si>
  <si>
    <t>NUTMEG</t>
  </si>
  <si>
    <t>unit</t>
  </si>
  <si>
    <t>WAFFLES</t>
  </si>
  <si>
    <t>flavour</t>
  </si>
  <si>
    <t>TOAST</t>
  </si>
  <si>
    <t>beef</t>
  </si>
  <si>
    <t>potato</t>
  </si>
  <si>
    <t>ketchup</t>
  </si>
  <si>
    <t>pepper</t>
  </si>
  <si>
    <t>sprite</t>
  </si>
  <si>
    <t>doughnut</t>
  </si>
  <si>
    <t>TOAST CREAM</t>
  </si>
  <si>
    <t>COST PER SERVING</t>
  </si>
  <si>
    <t>PROFIT MARGIN</t>
  </si>
  <si>
    <t>PERCENTAGE MARKUP</t>
  </si>
  <si>
    <t>milk</t>
  </si>
  <si>
    <t>BLANK</t>
  </si>
  <si>
    <t>Foil Cake</t>
  </si>
  <si>
    <t>Flour</t>
  </si>
  <si>
    <t>Sugar</t>
  </si>
  <si>
    <t>Salt</t>
  </si>
  <si>
    <t>Oil</t>
  </si>
  <si>
    <t>Eggs</t>
  </si>
  <si>
    <t>Baking soda</t>
  </si>
  <si>
    <t>Baking powder</t>
  </si>
  <si>
    <t>teaspoon</t>
  </si>
  <si>
    <t>foil plate</t>
  </si>
  <si>
    <t>PRESERVATIVE</t>
  </si>
  <si>
    <t>RED VELVET FOIL CAKE</t>
  </si>
  <si>
    <t>Cocoa</t>
  </si>
  <si>
    <t>baking soda</t>
  </si>
  <si>
    <t>vinegar</t>
  </si>
  <si>
    <t>colouring</t>
  </si>
  <si>
    <t>COLOURING</t>
  </si>
  <si>
    <t>CHOCOLATE FOIL CAKE</t>
  </si>
  <si>
    <t>oil</t>
  </si>
  <si>
    <t>flour</t>
  </si>
  <si>
    <t>sugar</t>
  </si>
  <si>
    <t>cocoa</t>
  </si>
  <si>
    <t>Desiccated coconut</t>
  </si>
  <si>
    <t>GROUNDNUT</t>
  </si>
  <si>
    <t>OREOS</t>
  </si>
  <si>
    <t>BANANA</t>
  </si>
  <si>
    <t>YOGURT</t>
  </si>
  <si>
    <t>BANANA BREAD</t>
  </si>
  <si>
    <t>FOIL PLATE</t>
  </si>
  <si>
    <t>DESICCATED COCONUT</t>
  </si>
  <si>
    <t>yogurt</t>
  </si>
  <si>
    <t>BLACK TREACLE</t>
  </si>
  <si>
    <t>COST PRICE</t>
  </si>
  <si>
    <t>NUMBER OF SERVINS</t>
  </si>
  <si>
    <t>SALES PRICE</t>
  </si>
  <si>
    <t>PROFTI MARGIN</t>
  </si>
  <si>
    <t>CINNAMON ROLL</t>
  </si>
  <si>
    <t>COFFEE CAKE</t>
  </si>
  <si>
    <t>FISHROLL</t>
  </si>
  <si>
    <t>CROISSANTS</t>
  </si>
  <si>
    <t>egg toast</t>
  </si>
  <si>
    <t>CAFE LATTE</t>
  </si>
  <si>
    <t>chin chin</t>
  </si>
  <si>
    <t>eggs</t>
  </si>
  <si>
    <t>MILK FLAVOUR</t>
  </si>
  <si>
    <t>milk flavour</t>
  </si>
  <si>
    <t>nutmeg</t>
  </si>
  <si>
    <t xml:space="preserve">CINNAMON </t>
  </si>
  <si>
    <t xml:space="preserve">Cinnamon </t>
  </si>
  <si>
    <t>ZOBO</t>
  </si>
  <si>
    <t>JOLLY JUICE</t>
  </si>
  <si>
    <t>GINGER</t>
  </si>
  <si>
    <t>CLOVES</t>
  </si>
  <si>
    <t>BOTTLE</t>
  </si>
  <si>
    <t xml:space="preserve"> </t>
  </si>
  <si>
    <t>40/</t>
  </si>
  <si>
    <t>POUCH</t>
  </si>
  <si>
    <t>tablespoon</t>
  </si>
  <si>
    <t>baking powder</t>
  </si>
  <si>
    <t>tomato</t>
  </si>
  <si>
    <t xml:space="preserve">chin chin </t>
  </si>
  <si>
    <t>nescafe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</si>
</sst>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₦&quot;* #,##0.00_-;\-&quot;₦&quot;* #,##0.00_-;_-&quot;₦&quot;* &quot;-&quot;??_-;_-@_-"/>
    <numFmt numFmtId="164" formatCode="_-[$₦-470]* #,##0.00_-;\-[$₦-470]* #,##0.00_-;_-[$₦-470]* &quot;-&quot;??_-;_-@_-"/>
    <numFmt numFmtId="165" formatCode="_-[$₦-470]* #,##0.0_-;\-[$₦-470]* #,##0.0_-;_-[$₦-470]* &quot;-&quot;?_-;_-@_-"/>
  </numFmts>
  <fonts count="11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4" fontId="7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wrapText="1"/>
    </xf>
    <xf numFmtId="0" fontId="0" fillId="6" borderId="3" xfId="0" applyFill="1" applyBorder="1"/>
    <xf numFmtId="0" fontId="0" fillId="0" borderId="3" xfId="0" applyBorder="1"/>
    <xf numFmtId="164" fontId="0" fillId="0" borderId="0" xfId="0" applyNumberFormat="1"/>
    <xf numFmtId="164" fontId="0" fillId="0" borderId="0" xfId="0" applyNumberFormat="1" applyAlignment="1">
      <alignment horizontal="center" vertical="top" wrapTex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9" fontId="0" fillId="0" borderId="7" xfId="0" applyNumberFormat="1" applyBorder="1"/>
    <xf numFmtId="0" fontId="0" fillId="8" borderId="7" xfId="0" applyFill="1" applyBorder="1"/>
    <xf numFmtId="0" fontId="2" fillId="9" borderId="5" xfId="0" applyFont="1" applyFill="1" applyBorder="1"/>
    <xf numFmtId="9" fontId="0" fillId="10" borderId="7" xfId="0" applyNumberFormat="1" applyFill="1" applyBorder="1"/>
    <xf numFmtId="0" fontId="4" fillId="0" borderId="0" xfId="0" applyFont="1" applyAlignment="1">
      <alignment vertical="center"/>
    </xf>
    <xf numFmtId="0" fontId="2" fillId="9" borderId="5" xfId="0" applyFont="1" applyFill="1" applyBorder="1" applyAlignment="1">
      <alignment wrapText="1"/>
    </xf>
    <xf numFmtId="0" fontId="5" fillId="0" borderId="0" xfId="0" applyFont="1" applyAlignment="1">
      <alignment horizontal="left" vertical="center" indent="5"/>
    </xf>
    <xf numFmtId="0" fontId="6" fillId="0" borderId="0" xfId="0" applyFont="1" applyAlignment="1">
      <alignment vertical="center"/>
    </xf>
    <xf numFmtId="0" fontId="4" fillId="0" borderId="0" xfId="0" applyFont="1" applyAlignment="1">
      <alignment horizontal="left" vertical="center" indent="1"/>
    </xf>
    <xf numFmtId="12" fontId="0" fillId="0" borderId="0" xfId="0" applyNumberFormat="1"/>
    <xf numFmtId="16" fontId="0" fillId="0" borderId="0" xfId="0" applyNumberFormat="1"/>
    <xf numFmtId="165" fontId="0" fillId="0" borderId="0" xfId="0" applyNumberFormat="1"/>
    <xf numFmtId="0" fontId="5" fillId="0" borderId="0" xfId="0" applyFont="1" applyAlignment="1">
      <alignment vertical="top"/>
    </xf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8" borderId="14" xfId="0" applyFill="1" applyBorder="1"/>
    <xf numFmtId="0" fontId="3" fillId="0" borderId="6" xfId="0" applyFont="1" applyBorder="1"/>
    <xf numFmtId="9" fontId="0" fillId="0" borderId="13" xfId="1" applyFont="1" applyFill="1" applyBorder="1"/>
    <xf numFmtId="0" fontId="3" fillId="0" borderId="14" xfId="0" applyFont="1" applyBorder="1"/>
    <xf numFmtId="0" fontId="0" fillId="0" borderId="12" xfId="0" applyBorder="1"/>
    <xf numFmtId="0" fontId="2" fillId="9" borderId="14" xfId="0" applyFont="1" applyFill="1" applyBorder="1"/>
    <xf numFmtId="9" fontId="0" fillId="10" borderId="14" xfId="0" applyNumberFormat="1" applyFill="1" applyBorder="1"/>
    <xf numFmtId="9" fontId="0" fillId="0" borderId="14" xfId="0" applyNumberFormat="1" applyBorder="1"/>
    <xf numFmtId="9" fontId="0" fillId="0" borderId="14" xfId="1" applyFont="1" applyFill="1" applyBorder="1"/>
    <xf numFmtId="0" fontId="0" fillId="0" borderId="8" xfId="0" applyBorder="1"/>
    <xf numFmtId="9" fontId="0" fillId="0" borderId="9" xfId="1" applyFont="1" applyFill="1" applyBorder="1"/>
    <xf numFmtId="2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2" fontId="0" fillId="0" borderId="0" xfId="0" applyNumberFormat="1" applyAlignment="1">
      <alignment horizontal="left" vertical="center"/>
    </xf>
    <xf numFmtId="12" fontId="0" fillId="0" borderId="0" xfId="0" applyNumberFormat="1" applyAlignment="1">
      <alignment horizontal="left"/>
    </xf>
    <xf numFmtId="0" fontId="0" fillId="4" borderId="15" xfId="0" applyFill="1" applyBorder="1"/>
    <xf numFmtId="0" fontId="0" fillId="0" borderId="15" xfId="0" applyBorder="1"/>
    <xf numFmtId="0" fontId="0" fillId="5" borderId="15" xfId="0" applyFill="1" applyBorder="1"/>
    <xf numFmtId="0" fontId="0" fillId="7" borderId="15" xfId="0" applyFill="1" applyBorder="1"/>
    <xf numFmtId="0" fontId="0" fillId="11" borderId="15" xfId="0" applyFill="1" applyBorder="1"/>
    <xf numFmtId="0" fontId="0" fillId="12" borderId="15" xfId="0" applyFill="1" applyBorder="1"/>
    <xf numFmtId="0" fontId="2" fillId="3" borderId="17" xfId="0" applyFont="1" applyFill="1" applyBorder="1"/>
    <xf numFmtId="0" fontId="2" fillId="3" borderId="18" xfId="0" applyFont="1" applyFill="1" applyBorder="1"/>
    <xf numFmtId="164" fontId="2" fillId="3" borderId="18" xfId="0" applyNumberFormat="1" applyFont="1" applyFill="1" applyBorder="1"/>
    <xf numFmtId="0" fontId="1" fillId="2" borderId="18" xfId="0" applyFont="1" applyFill="1" applyBorder="1"/>
    <xf numFmtId="0" fontId="1" fillId="2" borderId="19" xfId="0" applyFont="1" applyFill="1" applyBorder="1"/>
    <xf numFmtId="0" fontId="0" fillId="4" borderId="14" xfId="0" applyFill="1" applyBorder="1"/>
    <xf numFmtId="164" fontId="0" fillId="4" borderId="14" xfId="0" applyNumberFormat="1" applyFill="1" applyBorder="1"/>
    <xf numFmtId="164" fontId="0" fillId="4" borderId="20" xfId="0" applyNumberFormat="1" applyFill="1" applyBorder="1"/>
    <xf numFmtId="164" fontId="0" fillId="0" borderId="14" xfId="0" applyNumberFormat="1" applyBorder="1"/>
    <xf numFmtId="0" fontId="0" fillId="5" borderId="14" xfId="0" applyFill="1" applyBorder="1"/>
    <xf numFmtId="164" fontId="0" fillId="5" borderId="14" xfId="0" applyNumberFormat="1" applyFill="1" applyBorder="1"/>
    <xf numFmtId="0" fontId="0" fillId="7" borderId="14" xfId="0" applyFill="1" applyBorder="1"/>
    <xf numFmtId="164" fontId="0" fillId="7" borderId="14" xfId="0" applyNumberFormat="1" applyFill="1" applyBorder="1"/>
    <xf numFmtId="0" fontId="0" fillId="11" borderId="14" xfId="0" applyFill="1" applyBorder="1"/>
    <xf numFmtId="164" fontId="0" fillId="11" borderId="14" xfId="0" applyNumberFormat="1" applyFill="1" applyBorder="1"/>
    <xf numFmtId="0" fontId="0" fillId="12" borderId="14" xfId="0" applyFill="1" applyBorder="1"/>
    <xf numFmtId="164" fontId="0" fillId="12" borderId="14" xfId="0" applyNumberFormat="1" applyFill="1" applyBorder="1"/>
    <xf numFmtId="164" fontId="0" fillId="4" borderId="2" xfId="0" applyNumberFormat="1" applyFill="1" applyBorder="1"/>
    <xf numFmtId="164" fontId="0" fillId="4" borderId="1" xfId="0" applyNumberFormat="1" applyFill="1" applyBorder="1"/>
    <xf numFmtId="9" fontId="0" fillId="0" borderId="0" xfId="1" applyFont="1"/>
    <xf numFmtId="0" fontId="0" fillId="5" borderId="16" xfId="0" applyFill="1" applyBorder="1"/>
    <xf numFmtId="0" fontId="0" fillId="5" borderId="2" xfId="0" applyFill="1" applyBorder="1"/>
    <xf numFmtId="164" fontId="0" fillId="5" borderId="2" xfId="0" applyNumberFormat="1" applyFill="1" applyBorder="1"/>
    <xf numFmtId="0" fontId="0" fillId="0" borderId="16" xfId="0" applyBorder="1"/>
    <xf numFmtId="0" fontId="0" fillId="0" borderId="2" xfId="0" applyBorder="1"/>
    <xf numFmtId="164" fontId="0" fillId="0" borderId="2" xfId="0" applyNumberFormat="1" applyBorder="1"/>
    <xf numFmtId="0" fontId="10" fillId="0" borderId="0" xfId="2" applyFill="1"/>
    <xf numFmtId="0" fontId="10" fillId="0" borderId="0" xfId="2"/>
    <xf numFmtId="44" fontId="0" fillId="0" borderId="0" xfId="3" applyFont="1"/>
    <xf numFmtId="44" fontId="0" fillId="0" borderId="0" xfId="3" applyFont="1" applyAlignment="1">
      <alignment horizontal="center" vertical="top"/>
    </xf>
    <xf numFmtId="44" fontId="0" fillId="0" borderId="0" xfId="3" applyFont="1" applyAlignment="1">
      <alignment vertical="center"/>
    </xf>
    <xf numFmtId="0" fontId="0" fillId="0" borderId="0" xfId="0" applyAlignment="1">
      <alignment horizontal="center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82"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34" formatCode="_-&quot;₦&quot;* #,##0.00_-;\-&quot;₦&quot;* #,##0.00_-;_-&quot;₦&quot;* &quot;-&quot;??_-;_-@_-"/>
    </dxf>
    <dxf>
      <numFmt numFmtId="34" formatCode="_-&quot;₦&quot;* #,##0.00_-;\-&quot;₦&quot;* #,##0.00_-;_-&quot;₦&quot;* &quot;-&quot;??_-;_-@_-"/>
    </dxf>
    <dxf>
      <numFmt numFmtId="0" formatCode="General"/>
    </dxf>
    <dxf>
      <numFmt numFmtId="34" formatCode="_-&quot;₦&quot;* #,##0.00_-;\-&quot;₦&quot;* #,##0.00_-;_-&quot;₦&quot;* &quot;-&quot;??_-;_-@_-"/>
    </dxf>
    <dxf>
      <numFmt numFmtId="0" formatCode="General"/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/>
          <bgColor theme="0"/>
        </patternFill>
      </fill>
      <alignment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5D4"/>
      <color rgb="FFFF5DCD"/>
      <color rgb="FFE8467C"/>
      <color rgb="FFF18F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2</xdr:row>
          <xdr:rowOff>19050</xdr:rowOff>
        </xdr:from>
        <xdr:to>
          <xdr:col>10</xdr:col>
          <xdr:colOff>101600</xdr:colOff>
          <xdr:row>5</xdr:row>
          <xdr:rowOff>127000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57150</xdr:rowOff>
        </xdr:from>
        <xdr:to>
          <xdr:col>4</xdr:col>
          <xdr:colOff>3086100</xdr:colOff>
          <xdr:row>5</xdr:row>
          <xdr:rowOff>152400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3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G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Press to Create New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2774496</xdr:colOff>
      <xdr:row>18</xdr:row>
      <xdr:rowOff>141514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8503103" y="5108121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E17D46-FF8F-4E0A-808F-F1D7DA370006}" name="Table1" displayName="Table1" ref="A1:I9" totalsRowShown="0" headerRowDxfId="81" dataDxfId="80">
  <autoFilter ref="A1:I9" xr:uid="{5EE17D46-FF8F-4E0A-808F-F1D7DA370006}"/>
  <sortState xmlns:xlrd2="http://schemas.microsoft.com/office/spreadsheetml/2017/richdata2" ref="A2:I9">
    <sortCondition ref="A2:A9"/>
  </sortState>
  <tableColumns count="9">
    <tableColumn id="1" xr3:uid="{5CD59CA3-C4A5-4F95-92F2-580EAF097506}" name="UNITS OF MEASUREMENT" dataDxfId="79"/>
    <tableColumn id="2" xr3:uid="{BD7CFCD0-1D69-4717-A2A1-9CFC064931E1}" name="CUPS" dataDxfId="78"/>
    <tableColumn id="3" xr3:uid="{09EF4660-5FD4-4D62-A557-389CE7494CCF}" name="GRAMS" dataDxfId="77"/>
    <tableColumn id="4" xr3:uid="{8FAB9F79-2A67-44F9-A56C-C99B034167B8}" name="KILOGRAMS" dataDxfId="76"/>
    <tableColumn id="10" xr3:uid="{B0FA8FA2-BEC5-4F32-AA86-061C3440C6F1}" name="LITRE"/>
    <tableColumn id="5" xr3:uid="{89510FB3-626E-4985-AE83-BC89A8FE23F9}" name="mL" dataDxfId="75"/>
    <tableColumn id="6" xr3:uid="{CF73B6A8-1D5B-483A-9E4E-FDD1C7294955}" name="TABLESPOON" dataDxfId="74"/>
    <tableColumn id="7" xr3:uid="{E9D8305D-6546-4469-A461-17E7D3268BC5}" name="TEASPOON" dataDxfId="73"/>
    <tableColumn id="8" xr3:uid="{B2B67FBD-2F42-400F-BEB6-C52E103890E8}" name="UNIT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9034F5-D7DE-4E59-9E03-F6038B859F2C}" name="Table5" displayName="Table5" ref="A2:M60" totalsRowShown="0" headerRowDxfId="71" dataDxfId="69" headerRowBorderDxfId="70" tableBorderDxfId="68" totalsRowBorderDxfId="67">
  <autoFilter ref="A2:M60" xr:uid="{EA9034F5-D7DE-4E59-9E03-F6038B859F2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sortState xmlns:xlrd2="http://schemas.microsoft.com/office/spreadsheetml/2017/richdata2" ref="A3:M51">
    <sortCondition ref="A3:A51"/>
  </sortState>
  <tableColumns count="13">
    <tableColumn id="1" xr3:uid="{3F99ED2C-2D84-46AB-8CD4-2A6DCC01C0D9}" name="INGREDIENTS" dataDxfId="66"/>
    <tableColumn id="2" xr3:uid="{2414711E-0969-48A8-A398-A86C71F9C45D}" name="QUANTITY" dataDxfId="65"/>
    <tableColumn id="3" xr3:uid="{40071313-315C-4A01-BFA5-336F706F2A04}" name="UNIT OF MEASUREMENT" dataDxfId="64"/>
    <tableColumn id="4" xr3:uid="{BFAACA0C-5604-46AC-B5DE-FA4F36D27A06}" name="PRICE" dataDxfId="63"/>
    <tableColumn id="5" xr3:uid="{2D4AD7D5-E711-437C-A5CF-E21BDA54A9A0}" name="PRICE PER QTY" dataDxfId="62">
      <calculatedColumnFormula>IFERROR(MROUND(IF(B3=0,"",D3/B3),0.01),"")</calculatedColumnFormula>
    </tableColumn>
    <tableColumn id="6" xr3:uid="{4E842979-6C33-4DFA-B1B9-C57D24BBFE6D}" name="CUPS" dataDxfId="61">
      <calculatedColumnFormula>IFERROR(IF(VLOOKUP($C3,UNITS!$A$2:$I$9,2,FALSE)=0,"",$E3/VLOOKUP($C3,Table1[],2,FALSE)),"")</calculatedColumnFormula>
    </tableColumn>
    <tableColumn id="7" xr3:uid="{B4FD5FA1-22B2-4BFA-8FF2-9298757335C3}" name="GRAMS" dataDxfId="60">
      <calculatedColumnFormula>IFERROR(IF(VLOOKUP($C3,UNITS!$A$2:$I$9,3,FALSE)=0,"",$E3/VLOOKUP($C3,Table1[],3,FALSE)),"")</calculatedColumnFormula>
    </tableColumn>
    <tableColumn id="8" xr3:uid="{A98B0E4C-27A0-46E9-933C-2B7CEE94EDA1}" name="KILOGRAMS" dataDxfId="59">
      <calculatedColumnFormula>IFERROR(IF(VLOOKUP($C3,UNITS!$A$2:$I$9,4,FALSE)=0,"",$E3/VLOOKUP($C3,Table1[],4,FALSE)),"")</calculatedColumnFormula>
    </tableColumn>
    <tableColumn id="9" xr3:uid="{786B3B76-F026-43D6-93EB-62E8EADF268A}" name="LITRE" dataDxfId="58">
      <calculatedColumnFormula>IFERROR(IF(VLOOKUP($C3,UNITS!$A$2:$I$9,5,FALSE)=0,"",$E3/VLOOKUP($C3,Table1[],5,FALSE)),"")</calculatedColumnFormula>
    </tableColumn>
    <tableColumn id="10" xr3:uid="{C01D3225-0FBE-473B-8C40-83638E72F433}" name="mL" dataDxfId="57">
      <calculatedColumnFormula>IFERROR(IF(VLOOKUP($C3,UNITS!$A$2:$I$9,6,FALSE)=0,"",$E3/VLOOKUP($C3,Table1[],6,FALSE)),"")</calculatedColumnFormula>
    </tableColumn>
    <tableColumn id="11" xr3:uid="{C7682B79-BBAE-4566-B783-E9056BDB29F3}" name="TABLESPOON" dataDxfId="56">
      <calculatedColumnFormula>IFERROR(IF(VLOOKUP($C3,UNITS!$A$2:$I$9,7,FALSE)=0,"",$E3/VLOOKUP($C3,Table1[],7,FALSE)),"")</calculatedColumnFormula>
    </tableColumn>
    <tableColumn id="12" xr3:uid="{CD4CB002-F6D5-4752-A345-B2C38E2DA855}" name="TEASPOON" dataDxfId="55">
      <calculatedColumnFormula>IFERROR(IF(VLOOKUP($C3,UNITS!$A$2:$I$9,8,FALSE)=0,"",$E3/VLOOKUP($C3,Table1[],8,FALSE)),"")</calculatedColumnFormula>
    </tableColumn>
    <tableColumn id="13" xr3:uid="{6CCEEC66-180C-4303-BC02-B864D1150513}" name="UNIT" dataDxfId="54">
      <calculatedColumnFormula>IFERROR(IF(VLOOKUP($C3,UNITS!$A$2:$I$9,9,FALSE)=0,"",$E3/VLOOKUP($C3,Table1[],9,FALSE)),"")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7777622-9CBC-4E6D-A4A0-E7CD5F91EEA7}" name="Table47834911121314161922232421" displayName="Table47834911121314161922232421" ref="A2:F28" totalsRowShown="0">
  <autoFilter ref="A2:F28" xr:uid="{B5736635-591C-4DD5-A0C3-56EA2E9A2ECA}"/>
  <tableColumns count="6">
    <tableColumn id="2" xr3:uid="{42286255-2740-42A6-B6B2-0A7E721AD6F3}" name="RECIPE NAME" dataDxfId="53"/>
    <tableColumn id="3" xr3:uid="{CEA9C2B1-EB23-44DB-AC20-24E23FEA6958}" name="COST PRICE" dataDxfId="52" dataCellStyle="Currency">
      <calculatedColumnFormula>IFERROR(PRODUCT(Table47834911121314161922232421[[#This Row],[NUMBER OF SERVINS]],Table47834911121314161922232421[[#This Row],[COST PER SERVING]]),"")</calculatedColumnFormula>
    </tableColumn>
    <tableColumn id="4" xr3:uid="{9D428247-468C-4889-839D-9345B3E02184}" name="NUMBER OF SERVINS" dataDxfId="51">
      <calculatedColumnFormula>IFERROR(INDIRECT("'"&amp;Table47834911121314161922232421[[#This Row],[RECIPE NAME]]&amp;"'!c6"),"")</calculatedColumnFormula>
    </tableColumn>
    <tableColumn id="5" xr3:uid="{35B968E6-B60B-4453-AA9C-E9E101DD9732}" name="COST PER SERVING" dataDxfId="50" dataCellStyle="Currency">
      <calculatedColumnFormula>IFERROR(INDIRECT("'"&amp;Table47834911121314161922232421[[#This Row],[RECIPE NAME]]&amp;"'!c7"),"")</calculatedColumnFormula>
    </tableColumn>
    <tableColumn id="6" xr3:uid="{E06287DB-DAEA-4012-9CF0-FFE482F4FB0B}" name="SALES PRICE" dataDxfId="49">
      <calculatedColumnFormula>IFERROR(INDIRECT("'"&amp;Table47834911121314161922232421[[#This Row],[RECIPE NAME]]&amp;"'!c8"),"")</calculatedColumnFormula>
    </tableColumn>
    <tableColumn id="7" xr3:uid="{2AA7A4A0-6D4F-4154-8CE7-4E74E6EA2524}" name="PROFTI MARGIN" dataCellStyle="Percent">
      <calculatedColumnFormula>IFERROR(INDIRECT("'"&amp;Table47834911121314161922232421[[#This Row],[RECIPE NAME]]&amp;"'!c9"),"")</calculatedColumnFormula>
    </tableColumn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FE85673-E1F1-4BDD-8264-27A497D1BB15}" name="Table478349111213141619222324" displayName="Table478349111213141619222324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CA4527D-0548-42C5-84A3-898F42C367B3}" name="S/N"/>
    <tableColumn id="2" xr3:uid="{9425FBDD-63B7-49FE-A09B-E58D8C089629}" name="INGREDIENTS"/>
    <tableColumn id="3" xr3:uid="{9B2AF180-C587-475E-993A-64D7356B5A5A}" name="QUANTITY"/>
    <tableColumn id="4" xr3:uid="{A1F464F0-8CA3-4A35-96FF-3B4C17ECBA3E}" name="UNIT OF MEASUREMENT"/>
    <tableColumn id="5" xr3:uid="{C78649AB-5F2F-4E76-8F7A-1E7DE1C45FF6}" name="INGREDIENT COST PER UNIT OF MESUREMENT" dataDxfId="48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81C26CAB-3528-4AB3-AFB0-E4A8F670B6E7}" name="TOTAL COST" dataDxfId="47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B5B9752-E5B5-40DA-A89D-8B87CF59B985}" name="Table47834911121314161922232427" displayName="Table47834911121314161922232427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DEBA583-E83D-49C3-84F6-EE92F36813CC}" name="S/N"/>
    <tableColumn id="2" xr3:uid="{A3E88F92-41ED-429A-9D5E-F0CAC7178E6C}" name="INGREDIENTS"/>
    <tableColumn id="3" xr3:uid="{9B278E22-F505-4D6D-8F80-50B8093E51B9}" name="QUANTITY"/>
    <tableColumn id="4" xr3:uid="{EFFDBD43-EE63-49BA-AEE7-78DCE5D55F46}" name="UNIT OF MEASUREMENT"/>
    <tableColumn id="5" xr3:uid="{D74A579E-4DCE-40D5-BCA6-1C2E4866FD08}" name="INGREDIENT COST PER UNIT OF MESUREMENT" dataDxfId="46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A26BFFCD-D2F8-4C5C-AFBB-A791BD1D1DC7}" name="TOTAL COST" dataDxfId="45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418A4F26-E3BB-434D-96B9-C2B4F6EC49A0}" name="Table47834911121314161922232428" displayName="Table47834911121314161922232428" ref="A11:F42" totalsRowShown="0">
  <autoFilter ref="A11:F42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7DDA2F36-28AA-49D9-B4F6-777E54ACA730}" name="S/N"/>
    <tableColumn id="2" xr3:uid="{36A91B6A-6A47-464B-999A-6F9501CE148C}" name="INGREDIENTS"/>
    <tableColumn id="3" xr3:uid="{43ED0CE3-AE4F-4B5B-A8AA-FD39637E2D2B}" name="QUANTITY"/>
    <tableColumn id="4" xr3:uid="{D31D32BF-AFB7-4223-A4BA-81CC8E834A36}" name="UNIT OF MEASUREMENT"/>
    <tableColumn id="5" xr3:uid="{F7486A43-BB59-4634-8C02-130295D748A2}" name="INGREDIENT COST PER UNIT OF MESUREMENT" dataDxfId="44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0773DCC5-43B2-47D9-BFF3-40C2694E59BF}" name="TOTAL COST" dataDxfId="43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50CA513-C3E2-4DA2-BAD2-A9D117484117}" name="Table47834911121314161922232426" displayName="Table47834911121314161922232426" ref="A11:F42" totalsRowShown="0">
  <autoFilter ref="A11:F42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72DAB966-C7B8-45F4-AFC6-221598B0E4D0}" name="S/N"/>
    <tableColumn id="2" xr3:uid="{ADAEC8B9-DD0C-478F-AB1C-1A55F4FBACBA}" name="INGREDIENTS"/>
    <tableColumn id="3" xr3:uid="{F94519B8-A395-4459-A796-5103686CFA9C}" name="QUANTITY"/>
    <tableColumn id="4" xr3:uid="{4B62D678-6AD6-4886-9D57-FF893083F95E}" name="UNIT OF MEASUREMENT"/>
    <tableColumn id="5" xr3:uid="{3087684F-A51C-4A7D-8C94-4A358387117C}" name="INGREDIENT COST PER UNIT OF MESUREMENT" dataDxfId="42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823EDA43-A76A-4F47-9D1E-6240531DBC62}" name="TOTAL COST" dataDxfId="41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ACA7E59-8920-4503-8093-CB7F75247BD7}" name="Table47834911121314161922232425" displayName="Table47834911121314161922232425" ref="A11:F41" totalsRowShown="0">
  <autoFilter ref="A11:F41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60C76AD-37E0-4A18-942C-8B9F8A13C3E6}" name="S/N"/>
    <tableColumn id="2" xr3:uid="{A6E2AA58-502B-48E8-B2C9-AD324D773331}" name="INGREDIENTS"/>
    <tableColumn id="3" xr3:uid="{AE0968A9-49C1-4EA5-A2EE-544B47DD77FB}" name="QUANTITY"/>
    <tableColumn id="4" xr3:uid="{7281C343-EDAE-45CB-A4E7-FF21478CFE4D}" name="UNIT OF MEASUREMENT"/>
    <tableColumn id="5" xr3:uid="{9312C5B4-CD01-4D1C-B322-046AF287D55E}" name="INGREDIENT COST PER UNIT OF MESUREMENT" dataDxfId="40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23F63E39-5901-47E7-9B6F-8AD4158C14CB}" name="TOTAL COST" dataDxfId="39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BA5A5C4-52A0-4526-B702-9DBCECD662CF}" name="Table47834911121314161922232423" displayName="Table47834911121314161922232423" ref="A11:F42" totalsRowShown="0">
  <autoFilter ref="A11:F42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423F7F7-CA1A-42F1-94B9-0F59AF3F3C32}" name="S/N"/>
    <tableColumn id="2" xr3:uid="{31DB70DE-53D1-4BD8-ADD0-C1F018B80DBF}" name="INGREDIENTS"/>
    <tableColumn id="3" xr3:uid="{1A519182-643E-426E-A475-7CCA3A92B99C}" name="QUANTITY"/>
    <tableColumn id="4" xr3:uid="{F9E27BA0-3B8B-4BAC-B204-98ECA2493041}" name="UNIT OF MEASUREMENT"/>
    <tableColumn id="5" xr3:uid="{9CA5000C-2F66-4BDC-8295-EE8BA7287BAB}" name="INGREDIENT COST PER UNIT OF MESUREMENT" dataDxfId="38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74C71463-C1AD-49E1-8522-4875ECC65E37}" name="TOTAL COST" dataDxfId="37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736635-591C-4DD5-A0C3-56EA2E9A2ECA}" name="Table4" displayName="Table4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9CB968E-289C-46FF-9D76-7AC56EBB39AC}" name="S/N"/>
    <tableColumn id="2" xr3:uid="{3EA66EBE-7B43-4D67-94FB-DE0655E35DBA}" name="INGREDIENTS"/>
    <tableColumn id="3" xr3:uid="{63FEBEF6-13F7-4BB3-80FC-216EBE3DD1D8}" name="QUANTITY"/>
    <tableColumn id="4" xr3:uid="{1A0EC062-4D69-490C-A9EC-08D90363E836}" name="UNIT OF MEASUREMENT"/>
    <tableColumn id="5" xr3:uid="{1A2BADA4-25C8-4CFB-A4EC-C1B678DBF42A}" name="INGREDIENT COST PER UNIT OF MESUREMENT" dataDxfId="36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4DED6695-2C8D-435C-A7BF-C586F34A65D6}" name="TOTAL COST" dataDxfId="35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704419E-3543-4ADA-AAD0-929E9E726761}" name="Table47" displayName="Table47" ref="A11:F42" totalsRowShown="0">
  <autoFilter ref="A11:F42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F51D239-9DAB-4EB1-99B6-9CA8FC5150A8}" name="S/N"/>
    <tableColumn id="2" xr3:uid="{03117E4F-69CA-4FDB-8758-7FEFADD8D565}" name="INGREDIENTS"/>
    <tableColumn id="3" xr3:uid="{7CF74220-CA66-41D2-AEDB-1EB27FB46924}" name="QUANTITY"/>
    <tableColumn id="4" xr3:uid="{CCF063E6-3AA4-4524-8F58-E932D36D2A67}" name="UNIT OF MEASUREMENT"/>
    <tableColumn id="5" xr3:uid="{1E7DF48E-A080-4B64-94FF-163CBBFA81C2}" name="INGREDIENT COST PER UNIT OF MESUREMENT" dataDxfId="34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52A63FB3-B192-4495-8E96-13A3990E59AB}" name="TOTAL COST" dataDxfId="33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1F25CFF-2451-48C1-8268-8B8C7A5E2D97}" name="Table478" displayName="Table478" ref="A11:F26" totalsRowShown="0">
  <autoFilter ref="A11:F26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2D0EF75-758C-4B6A-AD1B-B9421BE88902}" name="S/N"/>
    <tableColumn id="2" xr3:uid="{C82391C6-9005-43DE-BB79-02221D5A2E77}" name="INGREDIENTS"/>
    <tableColumn id="3" xr3:uid="{42C1DF7D-C4AC-48D0-B9CD-1909590E29ED}" name="QUANTITY"/>
    <tableColumn id="4" xr3:uid="{E74A37C2-69CF-46A9-91BB-06F734957DFE}" name="UNIT OF MEASUREMENT"/>
    <tableColumn id="5" xr3:uid="{9F378634-67C7-4835-B3B2-EBE070F72640}" name="INGREDIENT COST PER UNIT OF MESUREMENT" dataDxfId="32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66A92731-170D-4B30-BB10-29B1BF06B065}" name="TOTAL COST" dataDxfId="31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C5E24C-87EB-4563-B97E-B3BC8462FAF2}" name="Table4783" displayName="Table4783" ref="A11:F26" totalsRowShown="0">
  <autoFilter ref="A11:F26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DD723A3-A43E-4345-B1C9-AD1CFC62DFDE}" name="S/N"/>
    <tableColumn id="2" xr3:uid="{6988C390-2D4C-4BC5-82FD-5A8337B786AA}" name="INGREDIENTS" dataDxfId="30"/>
    <tableColumn id="3" xr3:uid="{150B749B-DCDF-4AC8-9FAF-0C08EDBBE3D0}" name="QUANTITY"/>
    <tableColumn id="4" xr3:uid="{366C6E2F-DDDE-4056-9251-08D4404E0D66}" name="UNIT OF MEASUREMENT"/>
    <tableColumn id="5" xr3:uid="{9185A32A-F54C-443A-8225-CE0C8A6EBD0B}" name="INGREDIENT COST PER UNIT OF MESUREMENT" dataDxfId="29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FB4EFF7D-3358-42E3-B625-C6DF4BBCDBDA}" name="TOTAL COST" dataDxfId="28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CB5D2C-6B76-48C1-ACD3-E35C36606C38}" name="Table47834" displayName="Table47834" ref="A11:F30" totalsRowShown="0">
  <autoFilter ref="A11:F30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ED7C074-9015-41DD-83C5-E6E783FE1596}" name="S/N"/>
    <tableColumn id="2" xr3:uid="{B7DFD455-721F-4FAC-817C-858C5AB7EA6B}" name="INGREDIENTS"/>
    <tableColumn id="3" xr3:uid="{BD03FC2D-BA24-4F67-9A15-26C100902281}" name="QUANTITY"/>
    <tableColumn id="4" xr3:uid="{753B780F-5F00-437E-8455-1969366F40CF}" name="UNIT OF MEASUREMENT"/>
    <tableColumn id="5" xr3:uid="{82DF4EFB-F789-46B7-AAC5-FD7003D0C679}" name="INGREDIENT COST PER UNIT OF MESUREMENT" dataDxfId="27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652E4FD6-5F53-470D-9447-56FEA104EE28}" name="TOTAL COST" dataDxfId="26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30F6442-AF27-4547-929B-AE850F9C8754}" name="Table47834910" displayName="Table47834910" ref="A11:F42" totalsRowShown="0">
  <autoFilter ref="A11:F42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9D2DB25-59A9-4CDF-92ED-4BBBCFC114AC}" name="S/N"/>
    <tableColumn id="2" xr3:uid="{BE61FC93-18C2-4D2E-82C0-569EA618A054}" name="INGREDIENTS"/>
    <tableColumn id="3" xr3:uid="{EB39B5F7-FBDF-495E-8581-252840273521}" name="QUANTITY"/>
    <tableColumn id="4" xr3:uid="{95998607-70E2-4CFD-BC3A-8D03965525E4}" name="UNIT OF MEASUREMENT"/>
    <tableColumn id="5" xr3:uid="{2855E4EE-53C9-4EB6-A95C-E7AF96F11DB3}" name="INGREDIENT COST PER UNIT OF MESUREMENT" dataDxfId="25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E70F08F8-FAD9-44E1-9A11-AA1654C2B8BC}" name="TOTAL COST" dataDxfId="24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1CD035-A24E-4F4C-8CE3-A28B4A9CC699}" name="Table47834911" displayName="Table47834911" ref="A11:F38" totalsRowShown="0">
  <autoFilter ref="A11:F38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8810C7A-DA9D-4C86-A30E-7C07FE33849D}" name="S/N"/>
    <tableColumn id="2" xr3:uid="{211D8B09-BDD2-4049-8CBB-9AE55E44B026}" name="INGREDIENTS"/>
    <tableColumn id="3" xr3:uid="{C0E9380B-1C76-4D7D-8AFE-9A1469EC0852}" name="QUANTITY"/>
    <tableColumn id="4" xr3:uid="{FE40E213-0AC1-4BF8-AB5C-7FB20369EE7A}" name="UNIT OF MEASUREMENT"/>
    <tableColumn id="5" xr3:uid="{7D045724-726E-40EE-B38D-E78E130C2A7D}" name="INGREDIENT COST PER UNIT OF MESUREMENT" dataDxfId="23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22817DE4-90E0-4ED5-B51E-AB8776D88BFC}" name="TOTAL COST" dataDxfId="22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85A280-D5D6-4349-99A5-7A24907C765C}" name="Table478349" displayName="Table478349" ref="A11:F40" totalsRowShown="0">
  <autoFilter ref="A11:F40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4D10240D-F214-4319-BC6B-73CBD5A377BF}" name="S/N"/>
    <tableColumn id="2" xr3:uid="{E85F6B3E-AAE8-4424-8241-6BEAF14BAA94}" name="INGREDIENTS"/>
    <tableColumn id="3" xr3:uid="{5591C506-2774-4B02-9E89-6E7AF1B3B62D}" name="QUANTITY"/>
    <tableColumn id="4" xr3:uid="{54BBFAF7-5E50-4084-85EB-E5AF1D8D6F02}" name="UNIT OF MEASUREMENT"/>
    <tableColumn id="5" xr3:uid="{E9AA1575-0733-4D94-A7D5-AC62EBC1BEFA}" name="INGREDIENT COST PER UNIT OF MESUREMENT" dataDxfId="21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9C45BA7B-8655-4071-9D78-D46EBEEDE487}" name="TOTAL COST" dataDxfId="20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D66115F-2E9B-403E-A8CB-D04498E46FC1}" name="Table4783491112" displayName="Table4783491112" ref="A11:F30" totalsRowShown="0">
  <autoFilter ref="A11:F30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703CB3B-1119-49D4-A51B-3D4A978F3F07}" name="S/N"/>
    <tableColumn id="2" xr3:uid="{18C08CA4-4FF0-4C9D-8773-BDDC2B767D21}" name="INGREDIENTS"/>
    <tableColumn id="3" xr3:uid="{C2B9AFD3-87E4-4F16-B872-839D25D3D71B}" name="QUANTITY"/>
    <tableColumn id="4" xr3:uid="{C54313C3-CBA6-4256-820F-71540C1B7060}" name="UNIT OF MEASUREMENT"/>
    <tableColumn id="5" xr3:uid="{7ED368F2-0CCE-4076-BF07-19BAFF71373E}" name="INGREDIENT COST PER UNIT OF MESUREMENT" dataDxfId="19">
      <calculatedColumnFormula>IF(B12="","",IF(ISNA(MATCH(B12,'INGREDIENT '!$A$3:A67,0)),"Ingredient NOT found",IF(ISNA(MATCH(D12,'INGREDIENT '!$F$2:$M$2,0)),"Unit of Measure not Selected",IF(INDEX('INGREDIENT '!$F$3:$M67,MATCH(B12,'INGREDIENT '!$A$3:A67,0),MATCH(D12,'INGREDIENT '!$F$2:$M$2,0))="","Wrong Unit Of Measure",ROUNDUP(INDEX('INGREDIENT '!$F$3:$M67,MATCH(B12,'INGREDIENT '!$A$3:A67,0),MATCH(D12,'INGREDIENT '!$F$2:$M$2,0)),0.1)))))</calculatedColumnFormula>
    </tableColumn>
    <tableColumn id="6" xr3:uid="{E9FBD2D6-FDF2-4A65-BB18-07B48427ABC6}" name="TOTAL COST" dataDxfId="18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30E2DD1-76A4-4DC6-AAB0-C48B5A86576C}" name="Table478349111213" displayName="Table478349111213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30A0849-C477-44AC-9751-2D248BA5B833}" name="S/N"/>
    <tableColumn id="2" xr3:uid="{9F5B49C4-7971-4538-8414-AE23ADB5D965}" name="INGREDIENTS"/>
    <tableColumn id="3" xr3:uid="{F43CAE81-5DA2-4BD2-A2C7-8F3D429A3542}" name="QUANTITY"/>
    <tableColumn id="4" xr3:uid="{5A2F1715-7F16-4277-A719-3CF948EF2C6C}" name="UNIT OF MEASUREMENT"/>
    <tableColumn id="5" xr3:uid="{89FCCEBF-689D-4C92-A3B9-E4988F84731E}" name="INGREDIENT COST PER UNIT OF MESUREMENT" dataDxfId="17">
      <calculatedColumnFormula>IF(B12="","",IF(ISNA(MATCH(B12,'INGREDIENT '!$A$3:A67,0)),"Ingredient NOT found",IF(ISNA(MATCH(D12,'INGREDIENT '!$F$2:$M$2,0)),"Unit of Measure not Selected",IF(INDEX('INGREDIENT '!$F$3:$M67,MATCH(B12,'INGREDIENT '!$A$3:A67,0),MATCH(D12,'INGREDIENT '!$F$2:$M$2,0))="","Wrong Unit Of Measure",ROUNDUP(INDEX('INGREDIENT '!$F$3:$M67,MATCH(B12,'INGREDIENT '!$A$3:A67,0),MATCH(D12,'INGREDIENT '!$F$2:$M$2,0)),0.1)))))</calculatedColumnFormula>
    </tableColumn>
    <tableColumn id="6" xr3:uid="{0165A236-504B-4A62-A463-652FE0CDBD06}" name="TOTAL COST" dataDxfId="16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516D25D-D2CC-480B-A4CC-0DFD3A484EE0}" name="Table4783491112131415" displayName="Table4783491112131415" ref="A11:F35" totalsRowShown="0">
  <autoFilter ref="A11:F35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EB7F5E3-706D-440A-8F64-534D8D210406}" name="S/N"/>
    <tableColumn id="2" xr3:uid="{1560834F-F064-403A-81FF-82C3E4BEB91E}" name="INGREDIENTS"/>
    <tableColumn id="3" xr3:uid="{55EFED92-6D79-4467-A891-30635EFE0D12}" name="QUANTITY"/>
    <tableColumn id="4" xr3:uid="{77F92DDC-99B8-46E7-9F57-4D63493E542E}" name="UNIT OF MEASUREMENT"/>
    <tableColumn id="5" xr3:uid="{0490F5B1-BDBB-4C1E-B6CA-C221F3DB7FEA}" name="INGREDIENT COST PER UNIT OF MESUREMENT" dataDxfId="15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269DBDD0-8426-4385-BF98-E9942F0B8C08}" name="TOTAL COST" dataDxfId="14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9C2BD82-3901-4FFA-97F3-5D7FF0F2C7F9}" name="Table47834911121314" displayName="Table47834911121314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7F96BD36-8A08-456B-B998-CEC413500A39}" name="S/N"/>
    <tableColumn id="2" xr3:uid="{F1A222BE-8C00-41CD-A113-F0690766D4D3}" name="INGREDIENTS"/>
    <tableColumn id="3" xr3:uid="{6020B4C3-F66A-4C1E-8C67-F8CF00F946EB}" name="QUANTITY"/>
    <tableColumn id="4" xr3:uid="{3B7CB724-234B-4249-A66B-276F566BDC58}" name="UNIT OF MEASUREMENT"/>
    <tableColumn id="5" xr3:uid="{013338C4-3137-47B9-B79A-501E40E695B9}" name="INGREDIENT COST PER UNIT OF MESUREMENT" dataDxfId="13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5EBD562C-B74B-4F9A-B8F2-2322A4BD14B2}" name="TOTAL COST" dataDxfId="12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566913-9547-4E22-AAAA-3B678A1C893E}" name="Table478349111213141617" displayName="Table478349111213141617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FE92ACA-AC60-49BD-9C00-60474E52B3B5}" name="S/N"/>
    <tableColumn id="2" xr3:uid="{94EB6400-D94F-44AC-80CF-1776388FA951}" name="INGREDIENTS"/>
    <tableColumn id="3" xr3:uid="{833973D2-3814-48FF-A529-8D97A307D2E7}" name="QUANTITY"/>
    <tableColumn id="4" xr3:uid="{158E9996-0816-4ACF-B812-A5467D08682D}" name="UNIT OF MEASUREMENT"/>
    <tableColumn id="5" xr3:uid="{E0A0F9E3-BE33-4A3E-865A-42D133A0F85F}" name="INGREDIENT COST PER UNIT OF MESUREMENT" dataDxfId="11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08B5A5C1-97BC-4994-A44A-C2EBB0CE38CA}" name="TOTAL COST" dataDxfId="10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F556D49-0F47-4504-8F07-FB0EF498D0E2}" name="Table47834911121314161820" displayName="Table47834911121314161820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75E9ECA-6509-406D-8376-0F2B8A91C3B0}" name="S/N"/>
    <tableColumn id="2" xr3:uid="{74EE6A2C-D018-4E06-917B-82AF00DA5911}" name="INGREDIENTS"/>
    <tableColumn id="3" xr3:uid="{28438E8B-2248-4D1C-9CC6-5CD3FA227D90}" name="QUANTITY"/>
    <tableColumn id="4" xr3:uid="{B574805C-0A4F-4DBD-8F98-E3854EBEA323}" name="UNIT OF MEASUREMENT"/>
    <tableColumn id="5" xr3:uid="{A4640C08-9DB6-4C55-90F7-39667494F345}" name="INGREDIENT COST PER UNIT OF MESUREMENT" dataDxfId="9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C8DD62DD-6A0E-47CB-A907-645A8C61BF6D}" name="TOTAL COST" dataDxfId="8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5C5FBAC-7E2F-482E-BB87-2B529CB12CC6}" name="Table478349111213141618" displayName="Table478349111213141618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A88BAD6-277F-452C-BFD5-1FE43963E423}" name="S/N"/>
    <tableColumn id="2" xr3:uid="{697A2EC8-869F-4C72-9601-0865CA933B62}" name="INGREDIENTS"/>
    <tableColumn id="3" xr3:uid="{AA62C2B6-F2E1-410C-8F29-2CE5C2ED5E87}" name="QUANTITY"/>
    <tableColumn id="4" xr3:uid="{409DB78F-E228-4D9A-81A8-6B9C9AF7CA4F}" name="UNIT OF MEASUREMENT"/>
    <tableColumn id="5" xr3:uid="{DAC68A58-C3DC-4C56-A7A2-71AEE4E2F869}" name="INGREDIENT COST PER UNIT OF MESUREMENT" dataDxfId="7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689A3B0B-4C2A-446E-8072-480AB662923A}" name="TOTAL COST" dataDxfId="6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28D690-4FBE-44EA-8574-4F422D81DD9D}" name="Table4783491112131416" displayName="Table4783491112131416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6438B9C-68AA-4578-B24B-01F88DB60659}" name="S/N"/>
    <tableColumn id="2" xr3:uid="{0F6283C1-F6A7-4900-B68D-805FDE730742}" name="INGREDIENTS"/>
    <tableColumn id="3" xr3:uid="{0DD07B6F-7A77-4E73-AE2F-B20B54F0BDCE}" name="QUANTITY"/>
    <tableColumn id="4" xr3:uid="{4F297F98-FDDA-4387-A926-EBFED33D2FF5}" name="UNIT OF MEASUREMENT"/>
    <tableColumn id="5" xr3:uid="{24C1D30D-2BA0-4401-B7CF-6921F755608F}" name="INGREDIENT COST PER UNIT OF MESUREMENT" dataDxfId="5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378684C4-2080-4F85-8815-EBFD1A7DE7EE}" name="TOTAL COST" dataDxfId="4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3C54763-C703-4B40-90DF-1A3993EE1F8C}" name="Table478349111213141619" displayName="Table478349111213141619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D692858-4556-48ED-8835-9E6A123245F2}" name="S/N"/>
    <tableColumn id="2" xr3:uid="{D0F52073-8060-45B2-932F-5F47C5669507}" name="INGREDIENTS"/>
    <tableColumn id="3" xr3:uid="{3DFD9FFB-166B-4E38-B487-D024EDB14137}" name="QUANTITY"/>
    <tableColumn id="4" xr3:uid="{FCC8240F-573B-4035-B6E8-184683FC0C1C}" name="UNIT OF MEASUREMENT"/>
    <tableColumn id="5" xr3:uid="{0BBFE908-9E47-4FED-A660-A783E23E9DAE}" name="INGREDIENT COST PER UNIT OF MESUREMENT" dataDxfId="3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7E897DF1-0A74-49D7-92E7-B7E751B13BAD}" name="TOTAL COST" dataDxfId="2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014E137-9A2C-48BA-ACE4-E5433E38B241}" name="Table4783491112131416192232" displayName="Table4783491112131416192232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B6407A9A-9F00-41F7-AA2B-7D7DEB1FB06C}" name="S/N"/>
    <tableColumn id="2" xr3:uid="{7128A2EE-53C3-4CB1-882A-68D3115C4368}" name="INGREDIENTS"/>
    <tableColumn id="3" xr3:uid="{81027249-F308-4D72-B7EA-7B2EF0B24F6B}" name="QUANTITY"/>
    <tableColumn id="4" xr3:uid="{3570AB2E-A83D-4A73-8CD8-1C836E7B2FA1}" name="UNIT OF MEASUREMENT"/>
    <tableColumn id="5" xr3:uid="{1B33DD31-52CF-427B-AB7A-7FB0F238E299}" name="INGREDIENT COST PER UNIT OF MESUREMENT" dataDxfId="1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3200954E-A2F2-41A4-B8ED-06707DC2358B}" name="TOTAL COST" dataDxfId="0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39D9B-6D8A-4760-B43F-67EDCE05B1B2}">
  <sheetPr codeName="Sheet1"/>
  <dimension ref="A1:I9"/>
  <sheetViews>
    <sheetView workbookViewId="0">
      <selection activeCell="H9" sqref="H9"/>
    </sheetView>
  </sheetViews>
  <sheetFormatPr defaultRowHeight="14.5" x14ac:dyDescent="0.35"/>
  <cols>
    <col min="1" max="1" width="25.81640625" customWidth="1"/>
    <col min="3" max="3" width="9.81640625" customWidth="1"/>
    <col min="4" max="4" width="13.81640625" customWidth="1"/>
    <col min="6" max="6" width="14.81640625" customWidth="1"/>
    <col min="7" max="7" width="12.81640625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 t="s">
        <v>1</v>
      </c>
      <c r="B2" s="2">
        <v>1</v>
      </c>
      <c r="C2" s="3">
        <v>125</v>
      </c>
      <c r="D2" s="2">
        <v>0.125</v>
      </c>
      <c r="E2" s="3">
        <v>0.25</v>
      </c>
      <c r="F2" s="2">
        <v>250</v>
      </c>
      <c r="G2" s="3">
        <v>16</v>
      </c>
      <c r="H2" s="2">
        <v>48</v>
      </c>
      <c r="I2">
        <v>0</v>
      </c>
    </row>
    <row r="3" spans="1:9" x14ac:dyDescent="0.35">
      <c r="A3" t="s">
        <v>2</v>
      </c>
      <c r="B3">
        <v>8.3300000000000006E-3</v>
      </c>
      <c r="C3">
        <v>1</v>
      </c>
      <c r="D3" s="2">
        <v>1E-3</v>
      </c>
      <c r="E3" s="3">
        <v>0</v>
      </c>
      <c r="F3" s="2">
        <v>0</v>
      </c>
      <c r="G3" s="3">
        <v>0.128</v>
      </c>
      <c r="H3" s="2">
        <v>0.38</v>
      </c>
      <c r="I3" s="3">
        <v>0</v>
      </c>
    </row>
    <row r="4" spans="1:9" x14ac:dyDescent="0.35">
      <c r="A4" t="s">
        <v>3</v>
      </c>
      <c r="B4">
        <v>8</v>
      </c>
      <c r="C4">
        <v>1000</v>
      </c>
      <c r="D4">
        <v>1</v>
      </c>
      <c r="E4">
        <v>0</v>
      </c>
      <c r="F4">
        <v>0</v>
      </c>
      <c r="G4">
        <v>128</v>
      </c>
      <c r="H4">
        <v>380</v>
      </c>
      <c r="I4">
        <v>0</v>
      </c>
    </row>
    <row r="5" spans="1:9" x14ac:dyDescent="0.35">
      <c r="A5" t="s">
        <v>4</v>
      </c>
      <c r="B5">
        <v>4</v>
      </c>
      <c r="C5">
        <v>0</v>
      </c>
      <c r="D5">
        <v>0</v>
      </c>
      <c r="E5">
        <v>1</v>
      </c>
      <c r="F5">
        <v>1000</v>
      </c>
      <c r="G5">
        <v>64.099999999999994</v>
      </c>
      <c r="H5">
        <v>192.3</v>
      </c>
      <c r="I5">
        <v>0</v>
      </c>
    </row>
    <row r="6" spans="1:9" x14ac:dyDescent="0.35">
      <c r="A6" t="s">
        <v>5</v>
      </c>
      <c r="B6">
        <v>4.0000000000000001E-3</v>
      </c>
      <c r="C6">
        <v>0</v>
      </c>
      <c r="D6">
        <v>0</v>
      </c>
      <c r="E6">
        <v>1E-3</v>
      </c>
      <c r="F6">
        <v>1</v>
      </c>
      <c r="G6">
        <v>6.4000000000000001E-2</v>
      </c>
      <c r="H6">
        <v>0.19</v>
      </c>
      <c r="I6">
        <v>0</v>
      </c>
    </row>
    <row r="7" spans="1:9" x14ac:dyDescent="0.35">
      <c r="A7" t="s">
        <v>6</v>
      </c>
      <c r="B7">
        <v>6.25E-2</v>
      </c>
      <c r="C7">
        <v>7.8</v>
      </c>
      <c r="D7">
        <v>7.7999999999999996E-3</v>
      </c>
      <c r="E7">
        <v>1.5599999999999999E-2</v>
      </c>
      <c r="F7">
        <v>15.6</v>
      </c>
      <c r="G7">
        <v>1</v>
      </c>
      <c r="H7">
        <v>3</v>
      </c>
      <c r="I7">
        <v>0</v>
      </c>
    </row>
    <row r="8" spans="1:9" x14ac:dyDescent="0.35">
      <c r="A8" t="s">
        <v>7</v>
      </c>
      <c r="B8">
        <v>2.0799999999999999E-2</v>
      </c>
      <c r="C8">
        <v>2.6</v>
      </c>
      <c r="D8">
        <v>2.5999999999999999E-3</v>
      </c>
      <c r="E8">
        <v>5.1999999999999998E-3</v>
      </c>
      <c r="F8">
        <v>5.2</v>
      </c>
      <c r="G8">
        <v>0.33</v>
      </c>
      <c r="H8">
        <v>1</v>
      </c>
      <c r="I8">
        <v>0</v>
      </c>
    </row>
    <row r="9" spans="1:9" x14ac:dyDescent="0.35">
      <c r="A9" t="s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</row>
  </sheetData>
  <sortState xmlns:xlrd2="http://schemas.microsoft.com/office/spreadsheetml/2017/richdata2" ref="A2:A8">
    <sortCondition ref="A2:A8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D59A9-DA2F-448F-A973-116BAF54AC13}">
  <sheetPr codeName="Sheet5"/>
  <dimension ref="A1:M60"/>
  <sheetViews>
    <sheetView topLeftCell="A26" workbookViewId="0">
      <selection activeCell="D36" sqref="D36"/>
    </sheetView>
  </sheetViews>
  <sheetFormatPr defaultColWidth="9.1796875" defaultRowHeight="14.5" x14ac:dyDescent="0.35"/>
  <cols>
    <col min="1" max="1" width="20.26953125" bestFit="1" customWidth="1"/>
    <col min="2" max="2" width="9.453125" bestFit="1" customWidth="1"/>
    <col min="3" max="3" width="21.54296875" bestFit="1" customWidth="1"/>
    <col min="4" max="4" width="11.36328125" style="4" bestFit="1" customWidth="1"/>
    <col min="5" max="5" width="13.1796875" bestFit="1" customWidth="1"/>
    <col min="6" max="6" width="12.36328125" bestFit="1" customWidth="1"/>
    <col min="7" max="7" width="10.36328125" bestFit="1" customWidth="1"/>
    <col min="8" max="8" width="13.90625" bestFit="1" customWidth="1"/>
    <col min="9" max="9" width="11.36328125" bestFit="1" customWidth="1"/>
    <col min="10" max="10" width="7.90625" bestFit="1" customWidth="1"/>
    <col min="11" max="11" width="11.90625" bestFit="1" customWidth="1"/>
    <col min="12" max="13" width="10.36328125" bestFit="1" customWidth="1"/>
    <col min="14" max="16384" width="9.1796875" style="1"/>
  </cols>
  <sheetData>
    <row r="1" spans="1:13" x14ac:dyDescent="0.35">
      <c r="F1" s="78" t="s">
        <v>9</v>
      </c>
      <c r="G1" s="78"/>
      <c r="H1" s="78"/>
      <c r="I1" s="78"/>
      <c r="J1" s="78"/>
      <c r="K1" s="78"/>
      <c r="L1" s="78"/>
      <c r="M1" s="78"/>
    </row>
    <row r="2" spans="1:13" x14ac:dyDescent="0.35">
      <c r="A2" s="47" t="s">
        <v>61</v>
      </c>
      <c r="B2" s="48" t="s">
        <v>10</v>
      </c>
      <c r="C2" s="48" t="s">
        <v>11</v>
      </c>
      <c r="D2" s="49" t="s">
        <v>12</v>
      </c>
      <c r="E2" s="48" t="s">
        <v>13</v>
      </c>
      <c r="F2" s="50" t="s">
        <v>1</v>
      </c>
      <c r="G2" s="50" t="s">
        <v>2</v>
      </c>
      <c r="H2" s="50" t="s">
        <v>3</v>
      </c>
      <c r="I2" s="50" t="s">
        <v>4</v>
      </c>
      <c r="J2" s="50" t="s">
        <v>5</v>
      </c>
      <c r="K2" s="50" t="s">
        <v>6</v>
      </c>
      <c r="L2" s="50" t="s">
        <v>7</v>
      </c>
      <c r="M2" s="51" t="s">
        <v>8</v>
      </c>
    </row>
    <row r="3" spans="1:13" x14ac:dyDescent="0.35">
      <c r="A3" s="41" t="s">
        <v>14</v>
      </c>
      <c r="B3" s="52">
        <v>454</v>
      </c>
      <c r="C3" s="52" t="s">
        <v>2</v>
      </c>
      <c r="D3" s="53">
        <v>2500</v>
      </c>
      <c r="E3" s="52">
        <f t="shared" ref="E3:E34" si="0">IFERROR(MROUND(IF(B3=0,"",D3/B3),0.01),"")</f>
        <v>5.51</v>
      </c>
      <c r="F3" s="53">
        <f>IFERROR(IF(VLOOKUP($C3,UNITS!$A$2:$I$9,2,FALSE)=0,"",$E3/VLOOKUP($C3,Table1[],2,FALSE)),"")</f>
        <v>661.46458583433366</v>
      </c>
      <c r="G3" s="53">
        <f>IFERROR(IF(VLOOKUP($C3,UNITS!$A$2:$I$9,3,FALSE)=0,"",$E3/VLOOKUP($C3,Table1[],3,FALSE)),"")</f>
        <v>5.51</v>
      </c>
      <c r="H3" s="53">
        <f>IFERROR(IF(VLOOKUP($C3,UNITS!$A$2:$I$9,4,FALSE)=0,"",$E3/VLOOKUP($C3,Table1[],4,FALSE)),"")</f>
        <v>5510</v>
      </c>
      <c r="I3" s="53" t="str">
        <f>IFERROR(IF(VLOOKUP($C3,UNITS!$A$2:$I$9,5,FALSE)=0,"",$E3/VLOOKUP($C3,Table1[],5,FALSE)),"")</f>
        <v/>
      </c>
      <c r="J3" s="53" t="str">
        <f>IFERROR(IF(VLOOKUP($C3,UNITS!$A$2:$I$9,6,FALSE)=0,"",$E3/VLOOKUP($C3,Table1[],6,FALSE)),"")</f>
        <v/>
      </c>
      <c r="K3" s="53">
        <f>IFERROR(IF(VLOOKUP($C3,UNITS!$A$2:$I$9,7,FALSE)=0,"",$E3/VLOOKUP($C3,Table1[],7,FALSE)),"")</f>
        <v>43.046875</v>
      </c>
      <c r="L3" s="53">
        <f>IFERROR(IF(VLOOKUP($C3,UNITS!$A$2:$I$9,8,FALSE)=0,"",$E3/VLOOKUP($C3,Table1[],8,FALSE)),"")</f>
        <v>14.5</v>
      </c>
      <c r="M3" s="54" t="str">
        <f>IFERROR(IF(VLOOKUP($C3,UNITS!$A$2:$I$9,9,FALSE)=0,"",$E3/VLOOKUP($C3,Table1[],9,FALSE)),"")</f>
        <v/>
      </c>
    </row>
    <row r="4" spans="1:13" x14ac:dyDescent="0.35">
      <c r="A4" s="42" t="s">
        <v>15</v>
      </c>
      <c r="B4" s="24">
        <v>50</v>
      </c>
      <c r="C4" s="24" t="s">
        <v>2</v>
      </c>
      <c r="D4" s="55">
        <v>150</v>
      </c>
      <c r="E4" s="24">
        <f t="shared" si="0"/>
        <v>3</v>
      </c>
      <c r="F4" s="53">
        <f>IFERROR(IF(VLOOKUP($C4,UNITS!$A$2:$I$9,2,FALSE)=0,"",$E4/VLOOKUP($C4,Table1[],2,FALSE)),"")</f>
        <v>360.14405762304921</v>
      </c>
      <c r="G4" s="53">
        <f>IFERROR(IF(VLOOKUP($C4,UNITS!$A$2:$I$9,3,FALSE)=0,"",$E4/VLOOKUP($C4,Table1[],3,FALSE)),"")</f>
        <v>3</v>
      </c>
      <c r="H4" s="53">
        <f>IFERROR(IF(VLOOKUP($C4,UNITS!$A$2:$I$9,4,FALSE)=0,"",$E4/VLOOKUP($C4,Table1[],4,FALSE)),"")</f>
        <v>3000</v>
      </c>
      <c r="I4" s="53" t="str">
        <f>IFERROR(IF(VLOOKUP($C4,UNITS!$A$2:$I$9,5,FALSE)=0,"",$E4/VLOOKUP($C4,Table1[],5,FALSE)),"")</f>
        <v/>
      </c>
      <c r="J4" s="53" t="str">
        <f>IFERROR(IF(VLOOKUP($C4,UNITS!$A$2:$I$9,6,FALSE)=0,"",$E4/VLOOKUP($C4,Table1[],6,FALSE)),"")</f>
        <v/>
      </c>
      <c r="K4" s="53">
        <f>IFERROR(IF(VLOOKUP($C4,UNITS!$A$2:$I$9,7,FALSE)=0,"",$E4/VLOOKUP($C4,Table1[],7,FALSE)),"")</f>
        <v>23.4375</v>
      </c>
      <c r="L4" s="53">
        <f>IFERROR(IF(VLOOKUP($C4,UNITS!$A$2:$I$9,8,FALSE)=0,"",$E4/VLOOKUP($C4,Table1[],8,FALSE)),"")</f>
        <v>7.8947368421052628</v>
      </c>
      <c r="M4" s="54" t="str">
        <f>IFERROR(IF(VLOOKUP($C4,UNITS!$A$2:$I$9,9,FALSE)=0,"",$E4/VLOOKUP($C4,Table1[],9,FALSE)),"")</f>
        <v/>
      </c>
    </row>
    <row r="5" spans="1:13" x14ac:dyDescent="0.35">
      <c r="A5" s="42" t="s">
        <v>123</v>
      </c>
      <c r="B5" s="24">
        <v>300</v>
      </c>
      <c r="C5" s="24" t="s">
        <v>2</v>
      </c>
      <c r="D5" s="55">
        <v>800</v>
      </c>
      <c r="E5" s="24">
        <f t="shared" si="0"/>
        <v>2.67</v>
      </c>
      <c r="F5" s="53">
        <f>IFERROR(IF(VLOOKUP($C5,UNITS!$A$2:$I$9,2,FALSE)=0,"",$E5/VLOOKUP($C5,Table1[],2,FALSE)),"")</f>
        <v>320.52821128451376</v>
      </c>
      <c r="G5" s="53">
        <f>IFERROR(IF(VLOOKUP($C5,UNITS!$A$2:$I$9,3,FALSE)=0,"",$E5/VLOOKUP($C5,Table1[],3,FALSE)),"")</f>
        <v>2.67</v>
      </c>
      <c r="H5" s="53">
        <f>IFERROR(IF(VLOOKUP($C5,UNITS!$A$2:$I$9,4,FALSE)=0,"",$E5/VLOOKUP($C5,Table1[],4,FALSE)),"")</f>
        <v>2670</v>
      </c>
      <c r="I5" s="53" t="str">
        <f>IFERROR(IF(VLOOKUP($C5,UNITS!$A$2:$I$9,5,FALSE)=0,"",$E5/VLOOKUP($C5,Table1[],5,FALSE)),"")</f>
        <v/>
      </c>
      <c r="J5" s="53" t="str">
        <f>IFERROR(IF(VLOOKUP($C5,UNITS!$A$2:$I$9,6,FALSE)=0,"",$E5/VLOOKUP($C5,Table1[],6,FALSE)),"")</f>
        <v/>
      </c>
      <c r="K5" s="53">
        <f>IFERROR(IF(VLOOKUP($C5,UNITS!$A$2:$I$9,7,FALSE)=0,"",$E5/VLOOKUP($C5,Table1[],7,FALSE)),"")</f>
        <v>20.859375</v>
      </c>
      <c r="L5" s="53">
        <f>IFERROR(IF(VLOOKUP($C5,UNITS!$A$2:$I$9,8,FALSE)=0,"",$E5/VLOOKUP($C5,Table1[],8,FALSE)),"")</f>
        <v>7.0263157894736841</v>
      </c>
      <c r="M5" s="54" t="str">
        <f>IFERROR(IF(VLOOKUP($C5,UNITS!$A$2:$I$9,9,FALSE)=0,"",$E5/VLOOKUP($C5,Table1[],9,FALSE)),"")</f>
        <v/>
      </c>
    </row>
    <row r="6" spans="1:13" x14ac:dyDescent="0.35">
      <c r="A6" s="43" t="s">
        <v>16</v>
      </c>
      <c r="B6" s="56">
        <v>1</v>
      </c>
      <c r="C6" s="56" t="s">
        <v>3</v>
      </c>
      <c r="D6" s="57">
        <v>8000</v>
      </c>
      <c r="E6" s="56">
        <f t="shared" si="0"/>
        <v>8000</v>
      </c>
      <c r="F6" s="53">
        <f>IFERROR(IF(VLOOKUP($C6,UNITS!$A$2:$I$9,2,FALSE)=0,"",$E6/VLOOKUP($C6,Table1[],2,FALSE)),"")</f>
        <v>1000</v>
      </c>
      <c r="G6" s="53">
        <f>IFERROR(IF(VLOOKUP($C6,UNITS!$A$2:$I$9,3,FALSE)=0,"",$E6/VLOOKUP($C6,Table1[],3,FALSE)),"")</f>
        <v>8</v>
      </c>
      <c r="H6" s="53">
        <f>IFERROR(IF(VLOOKUP($C6,UNITS!$A$2:$I$9,4,FALSE)=0,"",$E6/VLOOKUP($C6,Table1[],4,FALSE)),"")</f>
        <v>8000</v>
      </c>
      <c r="I6" s="53" t="str">
        <f>IFERROR(IF(VLOOKUP($C6,UNITS!$A$2:$I$9,5,FALSE)=0,"",$E6/VLOOKUP($C6,Table1[],5,FALSE)),"")</f>
        <v/>
      </c>
      <c r="J6" s="53" t="str">
        <f>IFERROR(IF(VLOOKUP($C6,UNITS!$A$2:$I$9,6,FALSE)=0,"",$E6/VLOOKUP($C6,Table1[],6,FALSE)),"")</f>
        <v/>
      </c>
      <c r="K6" s="53">
        <f>IFERROR(IF(VLOOKUP($C6,UNITS!$A$2:$I$9,7,FALSE)=0,"",$E6/VLOOKUP($C6,Table1[],7,FALSE)),"")</f>
        <v>62.5</v>
      </c>
      <c r="L6" s="53">
        <f>IFERROR(IF(VLOOKUP($C6,UNITS!$A$2:$I$9,8,FALSE)=0,"",$E6/VLOOKUP($C6,Table1[],8,FALSE)),"")</f>
        <v>21.05263157894737</v>
      </c>
      <c r="M6" s="54" t="str">
        <f>IFERROR(IF(VLOOKUP($C6,UNITS!$A$2:$I$9,9,FALSE)=0,"",$E6/VLOOKUP($C6,Table1[],9,FALSE)),"")</f>
        <v/>
      </c>
    </row>
    <row r="7" spans="1:13" x14ac:dyDescent="0.35">
      <c r="A7" s="43" t="s">
        <v>129</v>
      </c>
      <c r="B7" s="56">
        <v>135</v>
      </c>
      <c r="C7" s="56" t="s">
        <v>5</v>
      </c>
      <c r="D7" s="57">
        <v>1200</v>
      </c>
      <c r="E7" s="56">
        <f t="shared" si="0"/>
        <v>8.89</v>
      </c>
      <c r="F7" s="53">
        <f>IFERROR(IF(VLOOKUP($C7,UNITS!$A$2:$I$9,2,FALSE)=0,"",$E7/VLOOKUP($C7,Table1[],2,FALSE)),"")</f>
        <v>2222.5</v>
      </c>
      <c r="G7" s="53" t="str">
        <f>IFERROR(IF(VLOOKUP($C7,UNITS!$A$2:$I$9,3,FALSE)=0,"",$E7/VLOOKUP($C7,Table1[],3,FALSE)),"")</f>
        <v/>
      </c>
      <c r="H7" s="53" t="str">
        <f>IFERROR(IF(VLOOKUP($C7,UNITS!$A$2:$I$9,4,FALSE)=0,"",$E7/VLOOKUP($C7,Table1[],4,FALSE)),"")</f>
        <v/>
      </c>
      <c r="I7" s="53">
        <f>IFERROR(IF(VLOOKUP($C7,UNITS!$A$2:$I$9,5,FALSE)=0,"",$E7/VLOOKUP($C7,Table1[],5,FALSE)),"")</f>
        <v>8890</v>
      </c>
      <c r="J7" s="53">
        <f>IFERROR(IF(VLOOKUP($C7,UNITS!$A$2:$I$9,6,FALSE)=0,"",$E7/VLOOKUP($C7,Table1[],6,FALSE)),"")</f>
        <v>8.89</v>
      </c>
      <c r="K7" s="53">
        <f>IFERROR(IF(VLOOKUP($C7,UNITS!$A$2:$I$9,7,FALSE)=0,"",$E7/VLOOKUP($C7,Table1[],7,FALSE)),"")</f>
        <v>138.90625</v>
      </c>
      <c r="L7" s="53">
        <f>IFERROR(IF(VLOOKUP($C7,UNITS!$A$2:$I$9,8,FALSE)=0,"",$E7/VLOOKUP($C7,Table1[],8,FALSE)),"")</f>
        <v>46.789473684210527</v>
      </c>
      <c r="M7" s="54" t="str">
        <f>IFERROR(IF(VLOOKUP($C7,UNITS!$A$2:$I$9,9,FALSE)=0,"",$E7/VLOOKUP($C7,Table1[],9,FALSE)),"")</f>
        <v/>
      </c>
    </row>
    <row r="8" spans="1:13" x14ac:dyDescent="0.35">
      <c r="A8" s="41" t="s">
        <v>17</v>
      </c>
      <c r="B8" s="52">
        <v>1</v>
      </c>
      <c r="C8" s="52" t="s">
        <v>8</v>
      </c>
      <c r="D8" s="53">
        <v>1900</v>
      </c>
      <c r="E8" s="52">
        <f t="shared" si="0"/>
        <v>1900</v>
      </c>
      <c r="F8" s="53" t="str">
        <f>IFERROR(IF(VLOOKUP($C8,UNITS!$A$2:$I$9,2,FALSE)=0,"",$E8/VLOOKUP($C8,Table1[],2,FALSE)),"")</f>
        <v/>
      </c>
      <c r="G8" s="53" t="str">
        <f>IFERROR(IF(VLOOKUP($C8,UNITS!$A$2:$I$9,3,FALSE)=0,"",$E8/VLOOKUP($C8,Table1[],3,FALSE)),"")</f>
        <v/>
      </c>
      <c r="H8" s="53" t="str">
        <f>IFERROR(IF(VLOOKUP($C8,UNITS!$A$2:$I$9,4,FALSE)=0,"",$E8/VLOOKUP($C8,Table1[],4,FALSE)),"")</f>
        <v/>
      </c>
      <c r="I8" s="53" t="str">
        <f>IFERROR(IF(VLOOKUP($C8,UNITS!$A$2:$I$9,5,FALSE)=0,"",$E8/VLOOKUP($C8,Table1[],5,FALSE)),"")</f>
        <v/>
      </c>
      <c r="J8" s="53" t="str">
        <f>IFERROR(IF(VLOOKUP($C8,UNITS!$A$2:$I$9,6,FALSE)=0,"",$E8/VLOOKUP($C8,Table1[],6,FALSE)),"")</f>
        <v/>
      </c>
      <c r="K8" s="53" t="str">
        <f>IFERROR(IF(VLOOKUP($C8,UNITS!$A$2:$I$9,7,FALSE)=0,"",$E8/VLOOKUP($C8,Table1[],7,FALSE)),"")</f>
        <v/>
      </c>
      <c r="L8" s="53" t="str">
        <f>IFERROR(IF(VLOOKUP($C8,UNITS!$A$2:$I$9,8,FALSE)=0,"",$E8/VLOOKUP($C8,Table1[],8,FALSE)),"")</f>
        <v/>
      </c>
      <c r="M8" s="54">
        <f>IFERROR(IF(VLOOKUP($C8,UNITS!$A$2:$I$9,9,FALSE)=0,"",$E8/VLOOKUP($C8,Table1[],9,FALSE)),"")</f>
        <v>1900</v>
      </c>
    </row>
    <row r="9" spans="1:13" x14ac:dyDescent="0.35">
      <c r="A9" s="42" t="s">
        <v>18</v>
      </c>
      <c r="B9" s="24">
        <v>500</v>
      </c>
      <c r="C9" s="24" t="s">
        <v>2</v>
      </c>
      <c r="D9" s="55">
        <v>2500</v>
      </c>
      <c r="E9" s="24">
        <f t="shared" si="0"/>
        <v>5</v>
      </c>
      <c r="F9" s="53">
        <f>IFERROR(IF(VLOOKUP($C9,UNITS!$A$2:$I$9,2,FALSE)=0,"",$E9/VLOOKUP($C9,Table1[],2,FALSE)),"")</f>
        <v>600.24009603841534</v>
      </c>
      <c r="G9" s="53">
        <f>IFERROR(IF(VLOOKUP($C9,UNITS!$A$2:$I$9,3,FALSE)=0,"",$E9/VLOOKUP($C9,Table1[],3,FALSE)),"")</f>
        <v>5</v>
      </c>
      <c r="H9" s="53">
        <f>IFERROR(IF(VLOOKUP($C9,UNITS!$A$2:$I$9,4,FALSE)=0,"",$E9/VLOOKUP($C9,Table1[],4,FALSE)),"")</f>
        <v>5000</v>
      </c>
      <c r="I9" s="53" t="str">
        <f>IFERROR(IF(VLOOKUP($C9,UNITS!$A$2:$I$9,5,FALSE)=0,"",$E9/VLOOKUP($C9,Table1[],5,FALSE)),"")</f>
        <v/>
      </c>
      <c r="J9" s="53" t="str">
        <f>IFERROR(IF(VLOOKUP($C9,UNITS!$A$2:$I$9,6,FALSE)=0,"",$E9/VLOOKUP($C9,Table1[],6,FALSE)),"")</f>
        <v/>
      </c>
      <c r="K9" s="53">
        <f>IFERROR(IF(VLOOKUP($C9,UNITS!$A$2:$I$9,7,FALSE)=0,"",$E9/VLOOKUP($C9,Table1[],7,FALSE)),"")</f>
        <v>39.0625</v>
      </c>
      <c r="L9" s="53">
        <f>IFERROR(IF(VLOOKUP($C9,UNITS!$A$2:$I$9,8,FALSE)=0,"",$E9/VLOOKUP($C9,Table1[],8,FALSE)),"")</f>
        <v>13.157894736842104</v>
      </c>
      <c r="M9" s="54" t="str">
        <f>IFERROR(IF(VLOOKUP($C9,UNITS!$A$2:$I$9,9,FALSE)=0,"",$E9/VLOOKUP($C9,Table1[],9,FALSE)),"")</f>
        <v/>
      </c>
    </row>
    <row r="10" spans="1:13" x14ac:dyDescent="0.35">
      <c r="A10" s="43" t="s">
        <v>19</v>
      </c>
      <c r="B10" s="56">
        <v>250</v>
      </c>
      <c r="C10" s="56" t="s">
        <v>2</v>
      </c>
      <c r="D10" s="57">
        <v>1000</v>
      </c>
      <c r="E10" s="56">
        <f t="shared" si="0"/>
        <v>4</v>
      </c>
      <c r="F10" s="53">
        <f>IFERROR(IF(VLOOKUP($C10,UNITS!$A$2:$I$9,2,FALSE)=0,"",$E10/VLOOKUP($C10,Table1[],2,FALSE)),"")</f>
        <v>480.19207683073228</v>
      </c>
      <c r="G10" s="53">
        <f>IFERROR(IF(VLOOKUP($C10,UNITS!$A$2:$I$9,3,FALSE)=0,"",$E10/VLOOKUP($C10,Table1[],3,FALSE)),"")</f>
        <v>4</v>
      </c>
      <c r="H10" s="53">
        <f>IFERROR(IF(VLOOKUP($C10,UNITS!$A$2:$I$9,4,FALSE)=0,"",$E10/VLOOKUP($C10,Table1[],4,FALSE)),"")</f>
        <v>4000</v>
      </c>
      <c r="I10" s="53" t="str">
        <f>IFERROR(IF(VLOOKUP($C10,UNITS!$A$2:$I$9,5,FALSE)=0,"",$E10/VLOOKUP($C10,Table1[],5,FALSE)),"")</f>
        <v/>
      </c>
      <c r="J10" s="53" t="str">
        <f>IFERROR(IF(VLOOKUP($C10,UNITS!$A$2:$I$9,6,FALSE)=0,"",$E10/VLOOKUP($C10,Table1[],6,FALSE)),"")</f>
        <v/>
      </c>
      <c r="K10" s="53">
        <f>IFERROR(IF(VLOOKUP($C10,UNITS!$A$2:$I$9,7,FALSE)=0,"",$E10/VLOOKUP($C10,Table1[],7,FALSE)),"")</f>
        <v>31.25</v>
      </c>
      <c r="L10" s="53">
        <f>IFERROR(IF(VLOOKUP($C10,UNITS!$A$2:$I$9,8,FALSE)=0,"",$E10/VLOOKUP($C10,Table1[],8,FALSE)),"")</f>
        <v>10.526315789473685</v>
      </c>
      <c r="M10" s="54" t="str">
        <f>IFERROR(IF(VLOOKUP($C10,UNITS!$A$2:$I$9,9,FALSE)=0,"",$E10/VLOOKUP($C10,Table1[],9,FALSE)),"")</f>
        <v/>
      </c>
    </row>
    <row r="11" spans="1:13" x14ac:dyDescent="0.35">
      <c r="A11" s="42" t="s">
        <v>46</v>
      </c>
      <c r="B11" s="24">
        <v>2.6</v>
      </c>
      <c r="C11" s="24" t="s">
        <v>3</v>
      </c>
      <c r="D11" s="55">
        <v>2500</v>
      </c>
      <c r="E11" s="24">
        <f t="shared" si="0"/>
        <v>961.54</v>
      </c>
      <c r="F11" s="53">
        <f>IFERROR(IF(VLOOKUP($C11,UNITS!$A$2:$I$9,2,FALSE)=0,"",$E11/VLOOKUP($C11,Table1[],2,FALSE)),"")</f>
        <v>120.1925</v>
      </c>
      <c r="G11" s="53">
        <f>IFERROR(IF(VLOOKUP($C11,UNITS!$A$2:$I$9,3,FALSE)=0,"",$E11/VLOOKUP($C11,Table1[],3,FALSE)),"")</f>
        <v>0.96153999999999995</v>
      </c>
      <c r="H11" s="53">
        <f>IFERROR(IF(VLOOKUP($C11,UNITS!$A$2:$I$9,4,FALSE)=0,"",$E11/VLOOKUP($C11,Table1[],4,FALSE)),"")</f>
        <v>961.54</v>
      </c>
      <c r="I11" s="53" t="str">
        <f>IFERROR(IF(VLOOKUP($C11,UNITS!$A$2:$I$9,5,FALSE)=0,"",$E11/VLOOKUP($C11,Table1[],5,FALSE)),"")</f>
        <v/>
      </c>
      <c r="J11" s="53" t="str">
        <f>IFERROR(IF(VLOOKUP($C11,UNITS!$A$2:$I$9,6,FALSE)=0,"",$E11/VLOOKUP($C11,Table1[],6,FALSE)),"")</f>
        <v/>
      </c>
      <c r="K11" s="53">
        <f>IFERROR(IF(VLOOKUP($C11,UNITS!$A$2:$I$9,7,FALSE)=0,"",$E11/VLOOKUP($C11,Table1[],7,FALSE)),"")</f>
        <v>7.5120312499999997</v>
      </c>
      <c r="L11" s="53">
        <f>IFERROR(IF(VLOOKUP($C11,UNITS!$A$2:$I$9,8,FALSE)=0,"",$E11/VLOOKUP($C11,Table1[],8,FALSE)),"")</f>
        <v>2.5303684210526316</v>
      </c>
      <c r="M11" s="54" t="str">
        <f>IFERROR(IF(VLOOKUP($C11,UNITS!$A$2:$I$9,9,FALSE)=0,"",$E11/VLOOKUP($C11,Table1[],9,FALSE)),"")</f>
        <v/>
      </c>
    </row>
    <row r="12" spans="1:13" x14ac:dyDescent="0.35">
      <c r="A12" s="42" t="s">
        <v>47</v>
      </c>
      <c r="B12" s="24">
        <v>1</v>
      </c>
      <c r="C12" s="24" t="s">
        <v>3</v>
      </c>
      <c r="D12" s="55">
        <v>1500</v>
      </c>
      <c r="E12" s="24">
        <f t="shared" si="0"/>
        <v>1500</v>
      </c>
      <c r="F12" s="53">
        <f>IFERROR(IF(VLOOKUP($C12,UNITS!$A$2:$I$9,2,FALSE)=0,"",$E12/VLOOKUP($C12,Table1[],2,FALSE)),"")</f>
        <v>187.5</v>
      </c>
      <c r="G12" s="53">
        <f>IFERROR(IF(VLOOKUP($C12,UNITS!$A$2:$I$9,3,FALSE)=0,"",$E12/VLOOKUP($C12,Table1[],3,FALSE)),"")</f>
        <v>1.5</v>
      </c>
      <c r="H12" s="53">
        <f>IFERROR(IF(VLOOKUP($C12,UNITS!$A$2:$I$9,4,FALSE)=0,"",$E12/VLOOKUP($C12,Table1[],4,FALSE)),"")</f>
        <v>1500</v>
      </c>
      <c r="I12" s="53" t="str">
        <f>IFERROR(IF(VLOOKUP($C12,UNITS!$A$2:$I$9,5,FALSE)=0,"",$E12/VLOOKUP($C12,Table1[],5,FALSE)),"")</f>
        <v/>
      </c>
      <c r="J12" s="53" t="str">
        <f>IFERROR(IF(VLOOKUP($C12,UNITS!$A$2:$I$9,6,FALSE)=0,"",$E12/VLOOKUP($C12,Table1[],6,FALSE)),"")</f>
        <v/>
      </c>
      <c r="K12" s="53">
        <f>IFERROR(IF(VLOOKUP($C12,UNITS!$A$2:$I$9,7,FALSE)=0,"",$E12/VLOOKUP($C12,Table1[],7,FALSE)),"")</f>
        <v>11.71875</v>
      </c>
      <c r="L12" s="53">
        <f>IFERROR(IF(VLOOKUP($C12,UNITS!$A$2:$I$9,8,FALSE)=0,"",$E12/VLOOKUP($C12,Table1[],8,FALSE)),"")</f>
        <v>3.9473684210526314</v>
      </c>
      <c r="M12" s="54" t="str">
        <f>IFERROR(IF(VLOOKUP($C12,UNITS!$A$2:$I$9,9,FALSE)=0,"",$E12/VLOOKUP($C12,Table1[],9,FALSE)),"")</f>
        <v/>
      </c>
    </row>
    <row r="13" spans="1:13" x14ac:dyDescent="0.35">
      <c r="A13" s="41" t="s">
        <v>20</v>
      </c>
      <c r="B13" s="52">
        <v>1.2</v>
      </c>
      <c r="C13" s="52" t="s">
        <v>3</v>
      </c>
      <c r="D13" s="53">
        <v>8000</v>
      </c>
      <c r="E13" s="52">
        <f t="shared" si="0"/>
        <v>6666.67</v>
      </c>
      <c r="F13" s="53">
        <f>IFERROR(IF(VLOOKUP($C13,UNITS!$A$2:$I$9,2,FALSE)=0,"",$E13/VLOOKUP($C13,Table1[],2,FALSE)),"")</f>
        <v>833.33375000000001</v>
      </c>
      <c r="G13" s="53">
        <f>IFERROR(IF(VLOOKUP($C13,UNITS!$A$2:$I$9,3,FALSE)=0,"",$E13/VLOOKUP($C13,Table1[],3,FALSE)),"")</f>
        <v>6.6666699999999999</v>
      </c>
      <c r="H13" s="53">
        <f>IFERROR(IF(VLOOKUP($C13,UNITS!$A$2:$I$9,4,FALSE)=0,"",$E13/VLOOKUP($C13,Table1[],4,FALSE)),"")</f>
        <v>6666.67</v>
      </c>
      <c r="I13" s="53" t="str">
        <f>IFERROR(IF(VLOOKUP($C13,UNITS!$A$2:$I$9,5,FALSE)=0,"",$E13/VLOOKUP($C13,Table1[],5,FALSE)),"")</f>
        <v/>
      </c>
      <c r="J13" s="53" t="str">
        <f>IFERROR(IF(VLOOKUP($C13,UNITS!$A$2:$I$9,6,FALSE)=0,"",$E13/VLOOKUP($C13,Table1[],6,FALSE)),"")</f>
        <v/>
      </c>
      <c r="K13" s="53">
        <f>IFERROR(IF(VLOOKUP($C13,UNITS!$A$2:$I$9,7,FALSE)=0,"",$E13/VLOOKUP($C13,Table1[],7,FALSE)),"")</f>
        <v>52.083359375000001</v>
      </c>
      <c r="L13" s="53">
        <f>IFERROR(IF(VLOOKUP($C13,UNITS!$A$2:$I$9,8,FALSE)=0,"",$E13/VLOOKUP($C13,Table1[],8,FALSE)),"")</f>
        <v>17.543868421052633</v>
      </c>
      <c r="M13" s="54" t="str">
        <f>IFERROR(IF(VLOOKUP($C13,UNITS!$A$2:$I$9,9,FALSE)=0,"",$E13/VLOOKUP($C13,Table1[],9,FALSE)),"")</f>
        <v/>
      </c>
    </row>
    <row r="14" spans="1:13" x14ac:dyDescent="0.35">
      <c r="A14" s="42" t="s">
        <v>21</v>
      </c>
      <c r="B14" s="24">
        <v>1</v>
      </c>
      <c r="C14" s="24" t="s">
        <v>8</v>
      </c>
      <c r="D14" s="55">
        <v>1000</v>
      </c>
      <c r="E14" s="24">
        <f t="shared" si="0"/>
        <v>1000</v>
      </c>
      <c r="F14" s="53" t="str">
        <f>IFERROR(IF(VLOOKUP($C14,UNITS!$A$2:$I$9,2,FALSE)=0,"",$E14/VLOOKUP($C14,Table1[],2,FALSE)),"")</f>
        <v/>
      </c>
      <c r="G14" s="53" t="str">
        <f>IFERROR(IF(VLOOKUP($C14,UNITS!$A$2:$I$9,3,FALSE)=0,"",$E14/VLOOKUP($C14,Table1[],3,FALSE)),"")</f>
        <v/>
      </c>
      <c r="H14" s="53" t="str">
        <f>IFERROR(IF(VLOOKUP($C14,UNITS!$A$2:$I$9,4,FALSE)=0,"",$E14/VLOOKUP($C14,Table1[],4,FALSE)),"")</f>
        <v/>
      </c>
      <c r="I14" s="53" t="str">
        <f>IFERROR(IF(VLOOKUP($C14,UNITS!$A$2:$I$9,5,FALSE)=0,"",$E14/VLOOKUP($C14,Table1[],5,FALSE)),"")</f>
        <v/>
      </c>
      <c r="J14" s="53" t="str">
        <f>IFERROR(IF(VLOOKUP($C14,UNITS!$A$2:$I$9,6,FALSE)=0,"",$E14/VLOOKUP($C14,Table1[],6,FALSE)),"")</f>
        <v/>
      </c>
      <c r="K14" s="53" t="str">
        <f>IFERROR(IF(VLOOKUP($C14,UNITS!$A$2:$I$9,7,FALSE)=0,"",$E14/VLOOKUP($C14,Table1[],7,FALSE)),"")</f>
        <v/>
      </c>
      <c r="L14" s="53" t="str">
        <f>IFERROR(IF(VLOOKUP($C14,UNITS!$A$2:$I$9,8,FALSE)=0,"",$E14/VLOOKUP($C14,Table1[],8,FALSE)),"")</f>
        <v/>
      </c>
      <c r="M14" s="54">
        <f>IFERROR(IF(VLOOKUP($C14,UNITS!$A$2:$I$9,9,FALSE)=0,"",$E14/VLOOKUP($C14,Table1[],9,FALSE)),"")</f>
        <v>1000</v>
      </c>
    </row>
    <row r="15" spans="1:13" x14ac:dyDescent="0.35">
      <c r="A15" s="42" t="s">
        <v>22</v>
      </c>
      <c r="B15" s="24">
        <v>1</v>
      </c>
      <c r="C15" s="24" t="s">
        <v>1</v>
      </c>
      <c r="D15" s="55">
        <v>1000</v>
      </c>
      <c r="E15" s="24">
        <f t="shared" si="0"/>
        <v>1000</v>
      </c>
      <c r="F15" s="53">
        <f>IFERROR(IF(VLOOKUP($C15,UNITS!$A$2:$I$9,2,FALSE)=0,"",$E15/VLOOKUP($C15,Table1[],2,FALSE)),"")</f>
        <v>1000</v>
      </c>
      <c r="G15" s="53">
        <f>IFERROR(IF(VLOOKUP($C15,UNITS!$A$2:$I$9,3,FALSE)=0,"",$E15/VLOOKUP($C15,Table1[],3,FALSE)),"")</f>
        <v>8</v>
      </c>
      <c r="H15" s="53">
        <f>IFERROR(IF(VLOOKUP($C15,UNITS!$A$2:$I$9,4,FALSE)=0,"",$E15/VLOOKUP($C15,Table1[],4,FALSE)),"")</f>
        <v>8000</v>
      </c>
      <c r="I15" s="53">
        <f>IFERROR(IF(VLOOKUP($C15,UNITS!$A$2:$I$9,5,FALSE)=0,"",$E15/VLOOKUP($C15,Table1[],5,FALSE)),"")</f>
        <v>4000</v>
      </c>
      <c r="J15" s="53">
        <f>IFERROR(IF(VLOOKUP($C15,UNITS!$A$2:$I$9,6,FALSE)=0,"",$E15/VLOOKUP($C15,Table1[],6,FALSE)),"")</f>
        <v>4</v>
      </c>
      <c r="K15" s="53">
        <f>IFERROR(IF(VLOOKUP($C15,UNITS!$A$2:$I$9,7,FALSE)=0,"",$E15/VLOOKUP($C15,Table1[],7,FALSE)),"")</f>
        <v>62.5</v>
      </c>
      <c r="L15" s="53">
        <f>IFERROR(IF(VLOOKUP($C15,UNITS!$A$2:$I$9,8,FALSE)=0,"",$E15/VLOOKUP($C15,Table1[],8,FALSE)),"")</f>
        <v>20.833333333333332</v>
      </c>
      <c r="M15" s="54" t="str">
        <f>IFERROR(IF(VLOOKUP($C15,UNITS!$A$2:$I$9,9,FALSE)=0,"",$E15/VLOOKUP($C15,Table1[],9,FALSE)),"")</f>
        <v/>
      </c>
    </row>
    <row r="16" spans="1:13" x14ac:dyDescent="0.35">
      <c r="A16" s="43" t="s">
        <v>145</v>
      </c>
      <c r="B16" s="56">
        <v>100</v>
      </c>
      <c r="C16" s="56" t="s">
        <v>2</v>
      </c>
      <c r="D16" s="57">
        <v>1000</v>
      </c>
      <c r="E16" s="56">
        <f t="shared" si="0"/>
        <v>10</v>
      </c>
      <c r="F16" s="53">
        <f>IFERROR(IF(VLOOKUP($C16,UNITS!$A$2:$I$9,2,FALSE)=0,"",$E16/VLOOKUP($C16,Table1[],2,FALSE)),"")</f>
        <v>1200.4801920768307</v>
      </c>
      <c r="G16" s="53">
        <f>IFERROR(IF(VLOOKUP($C16,UNITS!$A$2:$I$9,3,FALSE)=0,"",$E16/VLOOKUP($C16,Table1[],3,FALSE)),"")</f>
        <v>10</v>
      </c>
      <c r="H16" s="53">
        <f>IFERROR(IF(VLOOKUP($C16,UNITS!$A$2:$I$9,4,FALSE)=0,"",$E16/VLOOKUP($C16,Table1[],4,FALSE)),"")</f>
        <v>10000</v>
      </c>
      <c r="I16" s="53" t="str">
        <f>IFERROR(IF(VLOOKUP($C16,UNITS!$A$2:$I$9,5,FALSE)=0,"",$E16/VLOOKUP($C16,Table1[],5,FALSE)),"")</f>
        <v/>
      </c>
      <c r="J16" s="53" t="str">
        <f>IFERROR(IF(VLOOKUP($C16,UNITS!$A$2:$I$9,6,FALSE)=0,"",$E16/VLOOKUP($C16,Table1[],6,FALSE)),"")</f>
        <v/>
      </c>
      <c r="K16" s="53">
        <f>IFERROR(IF(VLOOKUP($C16,UNITS!$A$2:$I$9,7,FALSE)=0,"",$E16/VLOOKUP($C16,Table1[],7,FALSE)),"")</f>
        <v>78.125</v>
      </c>
      <c r="L16" s="53">
        <f>IFERROR(IF(VLOOKUP($C16,UNITS!$A$2:$I$9,8,FALSE)=0,"",$E16/VLOOKUP($C16,Table1[],8,FALSE)),"")</f>
        <v>26.315789473684209</v>
      </c>
      <c r="M16" s="54" t="str">
        <f>IFERROR(IF(VLOOKUP($C16,UNITS!$A$2:$I$9,9,FALSE)=0,"",$E16/VLOOKUP($C16,Table1[],9,FALSE)),"")</f>
        <v/>
      </c>
    </row>
    <row r="17" spans="1:13" x14ac:dyDescent="0.35">
      <c r="A17" s="44" t="s">
        <v>24</v>
      </c>
      <c r="B17" s="58">
        <v>1</v>
      </c>
      <c r="C17" s="58" t="s">
        <v>3</v>
      </c>
      <c r="D17" s="59">
        <v>7500</v>
      </c>
      <c r="E17" s="58">
        <f t="shared" si="0"/>
        <v>7500</v>
      </c>
      <c r="F17" s="53">
        <f>IFERROR(IF(VLOOKUP($C17,UNITS!$A$2:$I$9,2,FALSE)=0,"",$E17/VLOOKUP($C17,Table1[],2,FALSE)),"")</f>
        <v>937.5</v>
      </c>
      <c r="G17" s="53">
        <f>IFERROR(IF(VLOOKUP($C17,UNITS!$A$2:$I$9,3,FALSE)=0,"",$E17/VLOOKUP($C17,Table1[],3,FALSE)),"")</f>
        <v>7.5</v>
      </c>
      <c r="H17" s="53">
        <f>IFERROR(IF(VLOOKUP($C17,UNITS!$A$2:$I$9,4,FALSE)=0,"",$E17/VLOOKUP($C17,Table1[],4,FALSE)),"")</f>
        <v>7500</v>
      </c>
      <c r="I17" s="53" t="str">
        <f>IFERROR(IF(VLOOKUP($C17,UNITS!$A$2:$I$9,5,FALSE)=0,"",$E17/VLOOKUP($C17,Table1[],5,FALSE)),"")</f>
        <v/>
      </c>
      <c r="J17" s="53" t="str">
        <f>IFERROR(IF(VLOOKUP($C17,UNITS!$A$2:$I$9,6,FALSE)=0,"",$E17/VLOOKUP($C17,Table1[],6,FALSE)),"")</f>
        <v/>
      </c>
      <c r="K17" s="53">
        <f>IFERROR(IF(VLOOKUP($C17,UNITS!$A$2:$I$9,7,FALSE)=0,"",$E17/VLOOKUP($C17,Table1[],7,FALSE)),"")</f>
        <v>58.59375</v>
      </c>
      <c r="L17" s="53">
        <f>IFERROR(IF(VLOOKUP($C17,UNITS!$A$2:$I$9,8,FALSE)=0,"",$E17/VLOOKUP($C17,Table1[],8,FALSE)),"")</f>
        <v>19.736842105263158</v>
      </c>
      <c r="M17" s="54" t="str">
        <f>IFERROR(IF(VLOOKUP($C17,UNITS!$A$2:$I$9,9,FALSE)=0,"",$E17/VLOOKUP($C17,Table1[],9,FALSE)),"")</f>
        <v/>
      </c>
    </row>
    <row r="18" spans="1:13" x14ac:dyDescent="0.35">
      <c r="A18" s="42" t="s">
        <v>48</v>
      </c>
      <c r="B18" s="24">
        <v>50</v>
      </c>
      <c r="C18" s="24" t="s">
        <v>8</v>
      </c>
      <c r="D18" s="55">
        <v>7500</v>
      </c>
      <c r="E18" s="24">
        <f t="shared" si="0"/>
        <v>150</v>
      </c>
      <c r="F18" s="53" t="str">
        <f>IFERROR(IF(VLOOKUP($C18,UNITS!$A$2:$I$9,2,FALSE)=0,"",$E18/VLOOKUP($C18,Table1[],2,FALSE)),"")</f>
        <v/>
      </c>
      <c r="G18" s="53" t="str">
        <f>IFERROR(IF(VLOOKUP($C18,UNITS!$A$2:$I$9,3,FALSE)=0,"",$E18/VLOOKUP($C18,Table1[],3,FALSE)),"")</f>
        <v/>
      </c>
      <c r="H18" s="53" t="str">
        <f>IFERROR(IF(VLOOKUP($C18,UNITS!$A$2:$I$9,4,FALSE)=0,"",$E18/VLOOKUP($C18,Table1[],4,FALSE)),"")</f>
        <v/>
      </c>
      <c r="I18" s="53" t="str">
        <f>IFERROR(IF(VLOOKUP($C18,UNITS!$A$2:$I$9,5,FALSE)=0,"",$E18/VLOOKUP($C18,Table1[],5,FALSE)),"")</f>
        <v/>
      </c>
      <c r="J18" s="53" t="str">
        <f>IFERROR(IF(VLOOKUP($C18,UNITS!$A$2:$I$9,6,FALSE)=0,"",$E18/VLOOKUP($C18,Table1[],6,FALSE)),"")</f>
        <v/>
      </c>
      <c r="K18" s="53" t="str">
        <f>IFERROR(IF(VLOOKUP($C18,UNITS!$A$2:$I$9,7,FALSE)=0,"",$E18/VLOOKUP($C18,Table1[],7,FALSE)),"")</f>
        <v/>
      </c>
      <c r="L18" s="53" t="str">
        <f>IFERROR(IF(VLOOKUP($C18,UNITS!$A$2:$I$9,8,FALSE)=0,"",$E18/VLOOKUP($C18,Table1[],8,FALSE)),"")</f>
        <v/>
      </c>
      <c r="M18" s="54">
        <f>IFERROR(IF(VLOOKUP($C18,UNITS!$A$2:$I$9,9,FALSE)=0,"",$E18/VLOOKUP($C18,Table1[],9,FALSE)),"")</f>
        <v>150</v>
      </c>
    </row>
    <row r="19" spans="1:13" x14ac:dyDescent="0.35">
      <c r="A19" s="42" t="s">
        <v>114</v>
      </c>
      <c r="B19" s="24">
        <v>1</v>
      </c>
      <c r="C19" s="24" t="s">
        <v>8</v>
      </c>
      <c r="D19" s="55">
        <v>700</v>
      </c>
      <c r="E19" s="24">
        <f t="shared" si="0"/>
        <v>700</v>
      </c>
      <c r="F19" s="53" t="str">
        <f>IFERROR(IF(VLOOKUP($C19,UNITS!$A$2:$I$9,2,FALSE)=0,"",$E19/VLOOKUP($C19,Table1[],2,FALSE)),"")</f>
        <v/>
      </c>
      <c r="G19" s="53" t="str">
        <f>IFERROR(IF(VLOOKUP($C19,UNITS!$A$2:$I$9,3,FALSE)=0,"",$E19/VLOOKUP($C19,Table1[],3,FALSE)),"")</f>
        <v/>
      </c>
      <c r="H19" s="53" t="str">
        <f>IFERROR(IF(VLOOKUP($C19,UNITS!$A$2:$I$9,4,FALSE)=0,"",$E19/VLOOKUP($C19,Table1[],4,FALSE)),"")</f>
        <v/>
      </c>
      <c r="I19" s="53" t="str">
        <f>IFERROR(IF(VLOOKUP($C19,UNITS!$A$2:$I$9,5,FALSE)=0,"",$E19/VLOOKUP($C19,Table1[],5,FALSE)),"")</f>
        <v/>
      </c>
      <c r="J19" s="53" t="str">
        <f>IFERROR(IF(VLOOKUP($C19,UNITS!$A$2:$I$9,6,FALSE)=0,"",$E19/VLOOKUP($C19,Table1[],6,FALSE)),"")</f>
        <v/>
      </c>
      <c r="K19" s="53" t="str">
        <f>IFERROR(IF(VLOOKUP($C19,UNITS!$A$2:$I$9,7,FALSE)=0,"",$E19/VLOOKUP($C19,Table1[],7,FALSE)),"")</f>
        <v/>
      </c>
      <c r="L19" s="53" t="str">
        <f>IFERROR(IF(VLOOKUP($C19,UNITS!$A$2:$I$9,8,FALSE)=0,"",$E19/VLOOKUP($C19,Table1[],8,FALSE)),"")</f>
        <v/>
      </c>
      <c r="M19" s="54">
        <f>IFERROR(IF(VLOOKUP($C19,UNITS!$A$2:$I$9,9,FALSE)=0,"",$E19/VLOOKUP($C19,Table1[],9,FALSE)),"")</f>
        <v>700</v>
      </c>
    </row>
    <row r="20" spans="1:13" x14ac:dyDescent="0.35">
      <c r="A20" s="42" t="s">
        <v>25</v>
      </c>
      <c r="B20" s="24">
        <v>1</v>
      </c>
      <c r="C20" s="24" t="s">
        <v>1</v>
      </c>
      <c r="D20" s="55">
        <v>400</v>
      </c>
      <c r="E20" s="24">
        <f t="shared" si="0"/>
        <v>400</v>
      </c>
      <c r="F20" s="53">
        <f>IFERROR(IF(VLOOKUP($C20,UNITS!$A$2:$I$9,2,FALSE)=0,"",$E20/VLOOKUP($C20,Table1[],2,FALSE)),"")</f>
        <v>400</v>
      </c>
      <c r="G20" s="53">
        <f>IFERROR(IF(VLOOKUP($C20,UNITS!$A$2:$I$9,3,FALSE)=0,"",$E20/VLOOKUP($C20,Table1[],3,FALSE)),"")</f>
        <v>3.2</v>
      </c>
      <c r="H20" s="53">
        <f>IFERROR(IF(VLOOKUP($C20,UNITS!$A$2:$I$9,4,FALSE)=0,"",$E20/VLOOKUP($C20,Table1[],4,FALSE)),"")</f>
        <v>3200</v>
      </c>
      <c r="I20" s="53">
        <f>IFERROR(IF(VLOOKUP($C20,UNITS!$A$2:$I$9,5,FALSE)=0,"",$E20/VLOOKUP($C20,Table1[],5,FALSE)),"")</f>
        <v>1600</v>
      </c>
      <c r="J20" s="53">
        <f>IFERROR(IF(VLOOKUP($C20,UNITS!$A$2:$I$9,6,FALSE)=0,"",$E20/VLOOKUP($C20,Table1[],6,FALSE)),"")</f>
        <v>1.6</v>
      </c>
      <c r="K20" s="53">
        <f>IFERROR(IF(VLOOKUP($C20,UNITS!$A$2:$I$9,7,FALSE)=0,"",$E20/VLOOKUP($C20,Table1[],7,FALSE)),"")</f>
        <v>25</v>
      </c>
      <c r="L20" s="53">
        <f>IFERROR(IF(VLOOKUP($C20,UNITS!$A$2:$I$9,8,FALSE)=0,"",$E20/VLOOKUP($C20,Table1[],8,FALSE)),"")</f>
        <v>8.3333333333333339</v>
      </c>
      <c r="M20" s="54" t="str">
        <f>IFERROR(IF(VLOOKUP($C20,UNITS!$A$2:$I$9,9,FALSE)=0,"",$E20/VLOOKUP($C20,Table1[],9,FALSE)),"")</f>
        <v/>
      </c>
    </row>
    <row r="21" spans="1:13" x14ac:dyDescent="0.35">
      <c r="A21" s="42" t="s">
        <v>127</v>
      </c>
      <c r="B21" s="24">
        <v>4</v>
      </c>
      <c r="C21" s="24" t="s">
        <v>1</v>
      </c>
      <c r="D21" s="55">
        <v>7700</v>
      </c>
      <c r="E21" s="24">
        <f t="shared" si="0"/>
        <v>1925</v>
      </c>
      <c r="F21" s="53">
        <f>IFERROR(IF(VLOOKUP($C21,UNITS!$A$2:$I$9,2,FALSE)=0,"",$E21/VLOOKUP($C21,Table1[],2,FALSE)),"")</f>
        <v>1925</v>
      </c>
      <c r="G21" s="53">
        <f>IFERROR(IF(VLOOKUP($C21,UNITS!$A$2:$I$9,3,FALSE)=0,"",$E21/VLOOKUP($C21,Table1[],3,FALSE)),"")</f>
        <v>15.4</v>
      </c>
      <c r="H21" s="53">
        <f>IFERROR(IF(VLOOKUP($C21,UNITS!$A$2:$I$9,4,FALSE)=0,"",$E21/VLOOKUP($C21,Table1[],4,FALSE)),"")</f>
        <v>15400</v>
      </c>
      <c r="I21" s="53">
        <f>IFERROR(IF(VLOOKUP($C21,UNITS!$A$2:$I$9,5,FALSE)=0,"",$E21/VLOOKUP($C21,Table1[],5,FALSE)),"")</f>
        <v>7700</v>
      </c>
      <c r="J21" s="53">
        <f>IFERROR(IF(VLOOKUP($C21,UNITS!$A$2:$I$9,6,FALSE)=0,"",$E21/VLOOKUP($C21,Table1[],6,FALSE)),"")</f>
        <v>7.7</v>
      </c>
      <c r="K21" s="53">
        <f>IFERROR(IF(VLOOKUP($C21,UNITS!$A$2:$I$9,7,FALSE)=0,"",$E21/VLOOKUP($C21,Table1[],7,FALSE)),"")</f>
        <v>120.3125</v>
      </c>
      <c r="L21" s="53">
        <f>IFERROR(IF(VLOOKUP($C21,UNITS!$A$2:$I$9,8,FALSE)=0,"",$E21/VLOOKUP($C21,Table1[],8,FALSE)),"")</f>
        <v>40.104166666666664</v>
      </c>
      <c r="M21" s="54" t="str">
        <f>IFERROR(IF(VLOOKUP($C21,UNITS!$A$2:$I$9,9,FALSE)=0,"",$E21/VLOOKUP($C21,Table1[],9,FALSE)),"")</f>
        <v/>
      </c>
    </row>
    <row r="22" spans="1:13" x14ac:dyDescent="0.35">
      <c r="A22" s="41" t="s">
        <v>26</v>
      </c>
      <c r="B22" s="52">
        <v>30</v>
      </c>
      <c r="C22" s="52" t="s">
        <v>8</v>
      </c>
      <c r="D22" s="53">
        <v>6000</v>
      </c>
      <c r="E22" s="52">
        <f t="shared" si="0"/>
        <v>200</v>
      </c>
      <c r="F22" s="53" t="str">
        <f>IFERROR(IF(VLOOKUP($C22,UNITS!$A$2:$I$9,2,FALSE)=0,"",$E22/VLOOKUP($C22,Table1[],2,FALSE)),"")</f>
        <v/>
      </c>
      <c r="G22" s="53" t="str">
        <f>IFERROR(IF(VLOOKUP($C22,UNITS!$A$2:$I$9,3,FALSE)=0,"",$E22/VLOOKUP($C22,Table1[],3,FALSE)),"")</f>
        <v/>
      </c>
      <c r="H22" s="53" t="str">
        <f>IFERROR(IF(VLOOKUP($C22,UNITS!$A$2:$I$9,4,FALSE)=0,"",$E22/VLOOKUP($C22,Table1[],4,FALSE)),"")</f>
        <v/>
      </c>
      <c r="I22" s="53" t="str">
        <f>IFERROR(IF(VLOOKUP($C22,UNITS!$A$2:$I$9,5,FALSE)=0,"",$E22/VLOOKUP($C22,Table1[],5,FALSE)),"")</f>
        <v/>
      </c>
      <c r="J22" s="53" t="str">
        <f>IFERROR(IF(VLOOKUP($C22,UNITS!$A$2:$I$9,6,FALSE)=0,"",$E22/VLOOKUP($C22,Table1[],6,FALSE)),"")</f>
        <v/>
      </c>
      <c r="K22" s="53" t="str">
        <f>IFERROR(IF(VLOOKUP($C22,UNITS!$A$2:$I$9,7,FALSE)=0,"",$E22/VLOOKUP($C22,Table1[],7,FALSE)),"")</f>
        <v/>
      </c>
      <c r="L22" s="53" t="str">
        <f>IFERROR(IF(VLOOKUP($C22,UNITS!$A$2:$I$9,8,FALSE)=0,"",$E22/VLOOKUP($C22,Table1[],8,FALSE)),"")</f>
        <v/>
      </c>
      <c r="M22" s="54">
        <f>IFERROR(IF(VLOOKUP($C22,UNITS!$A$2:$I$9,9,FALSE)=0,"",$E22/VLOOKUP($C22,Table1[],9,FALSE)),"")</f>
        <v>200</v>
      </c>
    </row>
    <row r="23" spans="1:13" x14ac:dyDescent="0.35">
      <c r="A23" s="43" t="s">
        <v>27</v>
      </c>
      <c r="B23" s="56">
        <v>1</v>
      </c>
      <c r="C23" s="56" t="s">
        <v>8</v>
      </c>
      <c r="D23" s="57">
        <v>1600</v>
      </c>
      <c r="E23" s="56">
        <f t="shared" si="0"/>
        <v>1600</v>
      </c>
      <c r="F23" s="53" t="str">
        <f>IFERROR(IF(VLOOKUP($C23,UNITS!$A$2:$I$9,2,FALSE)=0,"",$E23/VLOOKUP($C23,Table1[],2,FALSE)),"")</f>
        <v/>
      </c>
      <c r="G23" s="53" t="str">
        <f>IFERROR(IF(VLOOKUP($C23,UNITS!$A$2:$I$9,3,FALSE)=0,"",$E23/VLOOKUP($C23,Table1[],3,FALSE)),"")</f>
        <v/>
      </c>
      <c r="H23" s="53" t="str">
        <f>IFERROR(IF(VLOOKUP($C23,UNITS!$A$2:$I$9,4,FALSE)=0,"",$E23/VLOOKUP($C23,Table1[],4,FALSE)),"")</f>
        <v/>
      </c>
      <c r="I23" s="53" t="str">
        <f>IFERROR(IF(VLOOKUP($C23,UNITS!$A$2:$I$9,5,FALSE)=0,"",$E23/VLOOKUP($C23,Table1[],5,FALSE)),"")</f>
        <v/>
      </c>
      <c r="J23" s="53" t="str">
        <f>IFERROR(IF(VLOOKUP($C23,UNITS!$A$2:$I$9,6,FALSE)=0,"",$E23/VLOOKUP($C23,Table1[],6,FALSE)),"")</f>
        <v/>
      </c>
      <c r="K23" s="53" t="str">
        <f>IFERROR(IF(VLOOKUP($C23,UNITS!$A$2:$I$9,7,FALSE)=0,"",$E23/VLOOKUP($C23,Table1[],7,FALSE)),"")</f>
        <v/>
      </c>
      <c r="L23" s="53" t="str">
        <f>IFERROR(IF(VLOOKUP($C23,UNITS!$A$2:$I$9,8,FALSE)=0,"",$E23/VLOOKUP($C23,Table1[],8,FALSE)),"")</f>
        <v/>
      </c>
      <c r="M23" s="54">
        <f>IFERROR(IF(VLOOKUP($C23,UNITS!$A$2:$I$9,9,FALSE)=0,"",$E23/VLOOKUP($C23,Table1[],9,FALSE)),"")</f>
        <v>1600</v>
      </c>
    </row>
    <row r="24" spans="1:13" x14ac:dyDescent="0.35">
      <c r="A24" s="41" t="s">
        <v>28</v>
      </c>
      <c r="B24" s="52">
        <v>4</v>
      </c>
      <c r="C24" s="52" t="s">
        <v>6</v>
      </c>
      <c r="D24" s="53">
        <v>1500</v>
      </c>
      <c r="E24" s="52">
        <f t="shared" si="0"/>
        <v>375</v>
      </c>
      <c r="F24" s="53">
        <f>IFERROR(IF(VLOOKUP($C24,UNITS!$A$2:$I$9,2,FALSE)=0,"",$E24/VLOOKUP($C24,Table1[],2,FALSE)),"")</f>
        <v>6000</v>
      </c>
      <c r="G24" s="53">
        <f>IFERROR(IF(VLOOKUP($C24,UNITS!$A$2:$I$9,3,FALSE)=0,"",$E24/VLOOKUP($C24,Table1[],3,FALSE)),"")</f>
        <v>48.07692307692308</v>
      </c>
      <c r="H24" s="53">
        <f>IFERROR(IF(VLOOKUP($C24,UNITS!$A$2:$I$9,4,FALSE)=0,"",$E24/VLOOKUP($C24,Table1[],4,FALSE)),"")</f>
        <v>48076.923076923078</v>
      </c>
      <c r="I24" s="53">
        <f>IFERROR(IF(VLOOKUP($C24,UNITS!$A$2:$I$9,5,FALSE)=0,"",$E24/VLOOKUP($C24,Table1[],5,FALSE)),"")</f>
        <v>24038.461538461539</v>
      </c>
      <c r="J24" s="53">
        <f>IFERROR(IF(VLOOKUP($C24,UNITS!$A$2:$I$9,6,FALSE)=0,"",$E24/VLOOKUP($C24,Table1[],6,FALSE)),"")</f>
        <v>24.03846153846154</v>
      </c>
      <c r="K24" s="53">
        <f>IFERROR(IF(VLOOKUP($C24,UNITS!$A$2:$I$9,7,FALSE)=0,"",$E24/VLOOKUP($C24,Table1[],7,FALSE)),"")</f>
        <v>375</v>
      </c>
      <c r="L24" s="53">
        <f>IFERROR(IF(VLOOKUP($C24,UNITS!$A$2:$I$9,8,FALSE)=0,"",$E24/VLOOKUP($C24,Table1[],8,FALSE)),"")</f>
        <v>125</v>
      </c>
      <c r="M24" s="54" t="str">
        <f>IFERROR(IF(VLOOKUP($C24,UNITS!$A$2:$I$9,9,FALSE)=0,"",$E24/VLOOKUP($C24,Table1[],9,FALSE)),"")</f>
        <v/>
      </c>
    </row>
    <row r="25" spans="1:13" x14ac:dyDescent="0.35">
      <c r="A25" s="43" t="s">
        <v>29</v>
      </c>
      <c r="B25" s="56">
        <v>1</v>
      </c>
      <c r="C25" s="56" t="s">
        <v>3</v>
      </c>
      <c r="D25" s="57">
        <v>1400</v>
      </c>
      <c r="E25" s="56">
        <f t="shared" si="0"/>
        <v>1400</v>
      </c>
      <c r="F25" s="53">
        <f>IFERROR(IF(VLOOKUP($C25,UNITS!$A$2:$I$9,2,FALSE)=0,"",$E25/VLOOKUP($C25,Table1[],2,FALSE)),"")</f>
        <v>175</v>
      </c>
      <c r="G25" s="53">
        <f>IFERROR(IF(VLOOKUP($C25,UNITS!$A$2:$I$9,3,FALSE)=0,"",$E25/VLOOKUP($C25,Table1[],3,FALSE)),"")</f>
        <v>1.4</v>
      </c>
      <c r="H25" s="53">
        <f>IFERROR(IF(VLOOKUP($C25,UNITS!$A$2:$I$9,4,FALSE)=0,"",$E25/VLOOKUP($C25,Table1[],4,FALSE)),"")</f>
        <v>1400</v>
      </c>
      <c r="I25" s="53" t="str">
        <f>IFERROR(IF(VLOOKUP($C25,UNITS!$A$2:$I$9,5,FALSE)=0,"",$E25/VLOOKUP($C25,Table1[],5,FALSE)),"")</f>
        <v/>
      </c>
      <c r="J25" s="53" t="str">
        <f>IFERROR(IF(VLOOKUP($C25,UNITS!$A$2:$I$9,6,FALSE)=0,"",$E25/VLOOKUP($C25,Table1[],6,FALSE)),"")</f>
        <v/>
      </c>
      <c r="K25" s="53">
        <f>IFERROR(IF(VLOOKUP($C25,UNITS!$A$2:$I$9,7,FALSE)=0,"",$E25/VLOOKUP($C25,Table1[],7,FALSE)),"")</f>
        <v>10.9375</v>
      </c>
      <c r="L25" s="53">
        <f>IFERROR(IF(VLOOKUP($C25,UNITS!$A$2:$I$9,8,FALSE)=0,"",$E25/VLOOKUP($C25,Table1[],8,FALSE)),"")</f>
        <v>3.6842105263157894</v>
      </c>
      <c r="M25" s="54" t="str">
        <f>IFERROR(IF(VLOOKUP($C25,UNITS!$A$2:$I$9,9,FALSE)=0,"",$E25/VLOOKUP($C25,Table1[],9,FALSE)),"")</f>
        <v/>
      </c>
    </row>
    <row r="26" spans="1:13" x14ac:dyDescent="0.35">
      <c r="A26" s="42" t="s">
        <v>126</v>
      </c>
      <c r="B26" s="24">
        <v>1</v>
      </c>
      <c r="C26" s="24" t="s">
        <v>8</v>
      </c>
      <c r="D26" s="55">
        <v>100</v>
      </c>
      <c r="E26" s="24">
        <f t="shared" si="0"/>
        <v>100</v>
      </c>
      <c r="F26" s="53" t="str">
        <f>IFERROR(IF(VLOOKUP($C26,UNITS!$A$2:$I$9,2,FALSE)=0,"",$E26/VLOOKUP($C26,Table1[],2,FALSE)),"")</f>
        <v/>
      </c>
      <c r="G26" s="53" t="str">
        <f>IFERROR(IF(VLOOKUP($C26,UNITS!$A$2:$I$9,3,FALSE)=0,"",$E26/VLOOKUP($C26,Table1[],3,FALSE)),"")</f>
        <v/>
      </c>
      <c r="H26" s="53" t="str">
        <f>IFERROR(IF(VLOOKUP($C26,UNITS!$A$2:$I$9,4,FALSE)=0,"",$E26/VLOOKUP($C26,Table1[],4,FALSE)),"")</f>
        <v/>
      </c>
      <c r="I26" s="53" t="str">
        <f>IFERROR(IF(VLOOKUP($C26,UNITS!$A$2:$I$9,5,FALSE)=0,"",$E26/VLOOKUP($C26,Table1[],5,FALSE)),"")</f>
        <v/>
      </c>
      <c r="J26" s="53" t="str">
        <f>IFERROR(IF(VLOOKUP($C26,UNITS!$A$2:$I$9,6,FALSE)=0,"",$E26/VLOOKUP($C26,Table1[],6,FALSE)),"")</f>
        <v/>
      </c>
      <c r="K26" s="53" t="str">
        <f>IFERROR(IF(VLOOKUP($C26,UNITS!$A$2:$I$9,7,FALSE)=0,"",$E26/VLOOKUP($C26,Table1[],7,FALSE)),"")</f>
        <v/>
      </c>
      <c r="L26" s="53" t="str">
        <f>IFERROR(IF(VLOOKUP($C26,UNITS!$A$2:$I$9,8,FALSE)=0,"",$E26/VLOOKUP($C26,Table1[],8,FALSE)),"")</f>
        <v/>
      </c>
      <c r="M26" s="54">
        <f>IFERROR(IF(VLOOKUP($C26,UNITS!$A$2:$I$9,9,FALSE)=0,"",$E26/VLOOKUP($C26,Table1[],9,FALSE)),"")</f>
        <v>100</v>
      </c>
    </row>
    <row r="27" spans="1:13" x14ac:dyDescent="0.35">
      <c r="A27" s="42" t="s">
        <v>121</v>
      </c>
      <c r="B27" s="24">
        <v>1</v>
      </c>
      <c r="C27" s="24" t="s">
        <v>8</v>
      </c>
      <c r="D27" s="55">
        <v>200</v>
      </c>
      <c r="E27" s="24">
        <f t="shared" si="0"/>
        <v>200</v>
      </c>
      <c r="F27" s="53" t="str">
        <f>IFERROR(IF(VLOOKUP($C27,UNITS!$A$2:$I$9,2,FALSE)=0,"",$E27/VLOOKUP($C27,Table1[],2,FALSE)),"")</f>
        <v/>
      </c>
      <c r="G27" s="53" t="str">
        <f>IFERROR(IF(VLOOKUP($C27,UNITS!$A$2:$I$9,3,FALSE)=0,"",$E27/VLOOKUP($C27,Table1[],3,FALSE)),"")</f>
        <v/>
      </c>
      <c r="H27" s="53" t="str">
        <f>IFERROR(IF(VLOOKUP($C27,UNITS!$A$2:$I$9,4,FALSE)=0,"",$E27/VLOOKUP($C27,Table1[],4,FALSE)),"")</f>
        <v/>
      </c>
      <c r="I27" s="53" t="str">
        <f>IFERROR(IF(VLOOKUP($C27,UNITS!$A$2:$I$9,5,FALSE)=0,"",$E27/VLOOKUP($C27,Table1[],5,FALSE)),"")</f>
        <v/>
      </c>
      <c r="J27" s="53" t="str">
        <f>IFERROR(IF(VLOOKUP($C27,UNITS!$A$2:$I$9,6,FALSE)=0,"",$E27/VLOOKUP($C27,Table1[],6,FALSE)),"")</f>
        <v/>
      </c>
      <c r="K27" s="53" t="str">
        <f>IFERROR(IF(VLOOKUP($C27,UNITS!$A$2:$I$9,7,FALSE)=0,"",$E27/VLOOKUP($C27,Table1[],7,FALSE)),"")</f>
        <v/>
      </c>
      <c r="L27" s="53" t="str">
        <f>IFERROR(IF(VLOOKUP($C27,UNITS!$A$2:$I$9,8,FALSE)=0,"",$E27/VLOOKUP($C27,Table1[],8,FALSE)),"")</f>
        <v/>
      </c>
      <c r="M27" s="54">
        <f>IFERROR(IF(VLOOKUP($C27,UNITS!$A$2:$I$9,9,FALSE)=0,"",$E27/VLOOKUP($C27,Table1[],9,FALSE)),"")</f>
        <v>200</v>
      </c>
    </row>
    <row r="28" spans="1:13" x14ac:dyDescent="0.35">
      <c r="A28" s="42" t="s">
        <v>51</v>
      </c>
      <c r="B28" s="24">
        <v>24</v>
      </c>
      <c r="C28" s="24" t="s">
        <v>8</v>
      </c>
      <c r="D28" s="55">
        <v>10500</v>
      </c>
      <c r="E28" s="24">
        <f t="shared" si="0"/>
        <v>437.5</v>
      </c>
      <c r="F28" s="53" t="str">
        <f>IFERROR(IF(VLOOKUP($C28,UNITS!$A$2:$I$9,2,FALSE)=0,"",$E28/VLOOKUP($C28,Table1[],2,FALSE)),"")</f>
        <v/>
      </c>
      <c r="G28" s="53" t="str">
        <f>IFERROR(IF(VLOOKUP($C28,UNITS!$A$2:$I$9,3,FALSE)=0,"",$E28/VLOOKUP($C28,Table1[],3,FALSE)),"")</f>
        <v/>
      </c>
      <c r="H28" s="53" t="str">
        <f>IFERROR(IF(VLOOKUP($C28,UNITS!$A$2:$I$9,4,FALSE)=0,"",$E28/VLOOKUP($C28,Table1[],4,FALSE)),"")</f>
        <v/>
      </c>
      <c r="I28" s="53" t="str">
        <f>IFERROR(IF(VLOOKUP($C28,UNITS!$A$2:$I$9,5,FALSE)=0,"",$E28/VLOOKUP($C28,Table1[],5,FALSE)),"")</f>
        <v/>
      </c>
      <c r="J28" s="53" t="str">
        <f>IFERROR(IF(VLOOKUP($C28,UNITS!$A$2:$I$9,6,FALSE)=0,"",$E28/VLOOKUP($C28,Table1[],6,FALSE)),"")</f>
        <v/>
      </c>
      <c r="K28" s="53" t="str">
        <f>IFERROR(IF(VLOOKUP($C28,UNITS!$A$2:$I$9,7,FALSE)=0,"",$E28/VLOOKUP($C28,Table1[],7,FALSE)),"")</f>
        <v/>
      </c>
      <c r="L28" s="53" t="str">
        <f>IFERROR(IF(VLOOKUP($C28,UNITS!$A$2:$I$9,8,FALSE)=0,"",$E28/VLOOKUP($C28,Table1[],8,FALSE)),"")</f>
        <v/>
      </c>
      <c r="M28" s="54">
        <f>IFERROR(IF(VLOOKUP($C28,UNITS!$A$2:$I$9,9,FALSE)=0,"",$E28/VLOOKUP($C28,Table1[],9,FALSE)),"")</f>
        <v>437.5</v>
      </c>
    </row>
    <row r="29" spans="1:13" x14ac:dyDescent="0.35">
      <c r="A29" s="44" t="s">
        <v>30</v>
      </c>
      <c r="B29" s="58">
        <v>1</v>
      </c>
      <c r="C29" s="60" t="s">
        <v>4</v>
      </c>
      <c r="D29" s="59">
        <v>2500</v>
      </c>
      <c r="E29" s="58">
        <f t="shared" si="0"/>
        <v>2500</v>
      </c>
      <c r="F29" s="53">
        <f>IFERROR(IF(VLOOKUP($C29,UNITS!$A$2:$I$9,2,FALSE)=0,"",$E29/VLOOKUP($C29,Table1[],2,FALSE)),"")</f>
        <v>625</v>
      </c>
      <c r="G29" s="53" t="str">
        <f>IFERROR(IF(VLOOKUP($C29,UNITS!$A$2:$I$9,3,FALSE)=0,"",$E29/VLOOKUP($C29,Table1[],3,FALSE)),"")</f>
        <v/>
      </c>
      <c r="H29" s="53" t="str">
        <f>IFERROR(IF(VLOOKUP($C29,UNITS!$A$2:$I$9,4,FALSE)=0,"",$E29/VLOOKUP($C29,Table1[],4,FALSE)),"")</f>
        <v/>
      </c>
      <c r="I29" s="53">
        <f>IFERROR(IF(VLOOKUP($C29,UNITS!$A$2:$I$9,5,FALSE)=0,"",$E29/VLOOKUP($C29,Table1[],5,FALSE)),"")</f>
        <v>2500</v>
      </c>
      <c r="J29" s="53">
        <f>IFERROR(IF(VLOOKUP($C29,UNITS!$A$2:$I$9,6,FALSE)=0,"",$E29/VLOOKUP($C29,Table1[],6,FALSE)),"")</f>
        <v>2.5</v>
      </c>
      <c r="K29" s="53">
        <f>IFERROR(IF(VLOOKUP($C29,UNITS!$A$2:$I$9,7,FALSE)=0,"",$E29/VLOOKUP($C29,Table1[],7,FALSE)),"")</f>
        <v>39.001560062402497</v>
      </c>
      <c r="L29" s="53">
        <f>IFERROR(IF(VLOOKUP($C29,UNITS!$A$2:$I$9,8,FALSE)=0,"",$E29/VLOOKUP($C29,Table1[],8,FALSE)),"")</f>
        <v>13.000520020800831</v>
      </c>
      <c r="M29" s="54" t="str">
        <f>IFERROR(IF(VLOOKUP($C29,UNITS!$A$2:$I$9,9,FALSE)=0,"",$E29/VLOOKUP($C29,Table1[],9,FALSE)),"")</f>
        <v/>
      </c>
    </row>
    <row r="30" spans="1:13" x14ac:dyDescent="0.35">
      <c r="A30" s="43" t="s">
        <v>31</v>
      </c>
      <c r="B30" s="56">
        <v>1</v>
      </c>
      <c r="C30" s="56" t="s">
        <v>2</v>
      </c>
      <c r="D30" s="57">
        <v>1700</v>
      </c>
      <c r="E30" s="56">
        <f t="shared" si="0"/>
        <v>1700</v>
      </c>
      <c r="F30" s="53">
        <f>IFERROR(IF(VLOOKUP($C30,UNITS!$A$2:$I$9,2,FALSE)=0,"",$E30/VLOOKUP($C30,Table1[],2,FALSE)),"")</f>
        <v>204081.63265306121</v>
      </c>
      <c r="G30" s="53">
        <f>IFERROR(IF(VLOOKUP($C30,UNITS!$A$2:$I$9,3,FALSE)=0,"",$E30/VLOOKUP($C30,Table1[],3,FALSE)),"")</f>
        <v>1700</v>
      </c>
      <c r="H30" s="53">
        <f>IFERROR(IF(VLOOKUP($C30,UNITS!$A$2:$I$9,4,FALSE)=0,"",$E30/VLOOKUP($C30,Table1[],4,FALSE)),"")</f>
        <v>1700000</v>
      </c>
      <c r="I30" s="53" t="str">
        <f>IFERROR(IF(VLOOKUP($C30,UNITS!$A$2:$I$9,5,FALSE)=0,"",$E30/VLOOKUP($C30,Table1[],5,FALSE)),"")</f>
        <v/>
      </c>
      <c r="J30" s="53" t="str">
        <f>IFERROR(IF(VLOOKUP($C30,UNITS!$A$2:$I$9,6,FALSE)=0,"",$E30/VLOOKUP($C30,Table1[],6,FALSE)),"")</f>
        <v/>
      </c>
      <c r="K30" s="53">
        <f>IFERROR(IF(VLOOKUP($C30,UNITS!$A$2:$I$9,7,FALSE)=0,"",$E30/VLOOKUP($C30,Table1[],7,FALSE)),"")</f>
        <v>13281.25</v>
      </c>
      <c r="L30" s="53">
        <f>IFERROR(IF(VLOOKUP($C30,UNITS!$A$2:$I$9,8,FALSE)=0,"",$E30/VLOOKUP($C30,Table1[],8,FALSE)),"")</f>
        <v>4473.6842105263158</v>
      </c>
      <c r="M30" s="54" t="str">
        <f>IFERROR(IF(VLOOKUP($C30,UNITS!$A$2:$I$9,9,FALSE)=0,"",$E30/VLOOKUP($C30,Table1[],9,FALSE)),"")</f>
        <v/>
      </c>
    </row>
    <row r="31" spans="1:13" x14ac:dyDescent="0.35">
      <c r="A31" s="45" t="s">
        <v>32</v>
      </c>
      <c r="B31" s="60">
        <v>1</v>
      </c>
      <c r="C31" s="60" t="s">
        <v>3</v>
      </c>
      <c r="D31" s="61">
        <v>2000</v>
      </c>
      <c r="E31" s="60">
        <f t="shared" si="0"/>
        <v>2000</v>
      </c>
      <c r="F31" s="53">
        <f>IFERROR(IF(VLOOKUP($C31,UNITS!$A$2:$I$9,2,FALSE)=0,"",$E31/VLOOKUP($C31,Table1[],2,FALSE)),"")</f>
        <v>250</v>
      </c>
      <c r="G31" s="53">
        <f>IFERROR(IF(VLOOKUP($C31,UNITS!$A$2:$I$9,3,FALSE)=0,"",$E31/VLOOKUP($C31,Table1[],3,FALSE)),"")</f>
        <v>2</v>
      </c>
      <c r="H31" s="53">
        <f>IFERROR(IF(VLOOKUP($C31,UNITS!$A$2:$I$9,4,FALSE)=0,"",$E31/VLOOKUP($C31,Table1[],4,FALSE)),"")</f>
        <v>2000</v>
      </c>
      <c r="I31" s="53" t="str">
        <f>IFERROR(IF(VLOOKUP($C31,UNITS!$A$2:$I$9,5,FALSE)=0,"",$E31/VLOOKUP($C31,Table1[],5,FALSE)),"")</f>
        <v/>
      </c>
      <c r="J31" s="53" t="str">
        <f>IFERROR(IF(VLOOKUP($C31,UNITS!$A$2:$I$9,6,FALSE)=0,"",$E31/VLOOKUP($C31,Table1[],6,FALSE)),"")</f>
        <v/>
      </c>
      <c r="K31" s="53">
        <f>IFERROR(IF(VLOOKUP($C31,UNITS!$A$2:$I$9,7,FALSE)=0,"",$E31/VLOOKUP($C31,Table1[],7,FALSE)),"")</f>
        <v>15.625</v>
      </c>
      <c r="L31" s="53">
        <f>IFERROR(IF(VLOOKUP($C31,UNITS!$A$2:$I$9,8,FALSE)=0,"",$E31/VLOOKUP($C31,Table1[],8,FALSE)),"")</f>
        <v>5.2631578947368425</v>
      </c>
      <c r="M31" s="54" t="str">
        <f>IFERROR(IF(VLOOKUP($C31,UNITS!$A$2:$I$9,9,FALSE)=0,"",$E31/VLOOKUP($C31,Table1[],9,FALSE)),"")</f>
        <v/>
      </c>
    </row>
    <row r="32" spans="1:13" x14ac:dyDescent="0.35">
      <c r="A32" s="43" t="s">
        <v>33</v>
      </c>
      <c r="B32" s="56">
        <v>1000</v>
      </c>
      <c r="C32" s="56" t="s">
        <v>5</v>
      </c>
      <c r="D32" s="57">
        <v>3200</v>
      </c>
      <c r="E32" s="56">
        <f t="shared" si="0"/>
        <v>3.2</v>
      </c>
      <c r="F32" s="53">
        <f>IFERROR(IF(VLOOKUP($C32,UNITS!$A$2:$I$9,2,FALSE)=0,"",$E32/VLOOKUP($C32,Table1[],2,FALSE)),"")</f>
        <v>800</v>
      </c>
      <c r="G32" s="53" t="str">
        <f>IFERROR(IF(VLOOKUP($C32,UNITS!$A$2:$I$9,3,FALSE)=0,"",$E32/VLOOKUP($C32,Table1[],3,FALSE)),"")</f>
        <v/>
      </c>
      <c r="H32" s="53" t="str">
        <f>IFERROR(IF(VLOOKUP($C32,UNITS!$A$2:$I$9,4,FALSE)=0,"",$E32/VLOOKUP($C32,Table1[],4,FALSE)),"")</f>
        <v/>
      </c>
      <c r="I32" s="53">
        <f>IFERROR(IF(VLOOKUP($C32,UNITS!$A$2:$I$9,5,FALSE)=0,"",$E32/VLOOKUP($C32,Table1[],5,FALSE)),"")</f>
        <v>3200</v>
      </c>
      <c r="J32" s="53">
        <f>IFERROR(IF(VLOOKUP($C32,UNITS!$A$2:$I$9,6,FALSE)=0,"",$E32/VLOOKUP($C32,Table1[],6,FALSE)),"")</f>
        <v>3.2</v>
      </c>
      <c r="K32" s="53">
        <f>IFERROR(IF(VLOOKUP($C32,UNITS!$A$2:$I$9,7,FALSE)=0,"",$E32/VLOOKUP($C32,Table1[],7,FALSE)),"")</f>
        <v>50</v>
      </c>
      <c r="L32" s="53">
        <f>IFERROR(IF(VLOOKUP($C32,UNITS!$A$2:$I$9,8,FALSE)=0,"",$E32/VLOOKUP($C32,Table1[],8,FALSE)),"")</f>
        <v>16.842105263157894</v>
      </c>
      <c r="M32" s="54" t="str">
        <f>IFERROR(IF(VLOOKUP($C32,UNITS!$A$2:$I$9,9,FALSE)=0,"",$E32/VLOOKUP($C32,Table1[],9,FALSE)),"")</f>
        <v/>
      </c>
    </row>
    <row r="33" spans="1:13" x14ac:dyDescent="0.35">
      <c r="A33" s="41" t="s">
        <v>35</v>
      </c>
      <c r="B33" s="52">
        <v>1</v>
      </c>
      <c r="C33" s="52" t="s">
        <v>3</v>
      </c>
      <c r="D33" s="53">
        <v>8000</v>
      </c>
      <c r="E33" s="52">
        <f t="shared" si="0"/>
        <v>8000</v>
      </c>
      <c r="F33" s="53">
        <f>IFERROR(IF(VLOOKUP($C33,UNITS!$A$2:$I$9,2,FALSE)=0,"",$E33/VLOOKUP($C33,Table1[],2,FALSE)),"")</f>
        <v>1000</v>
      </c>
      <c r="G33" s="53">
        <f>IFERROR(IF(VLOOKUP($C33,UNITS!$A$2:$I$9,3,FALSE)=0,"",$E33/VLOOKUP($C33,Table1[],3,FALSE)),"")</f>
        <v>8</v>
      </c>
      <c r="H33" s="53">
        <f>IFERROR(IF(VLOOKUP($C33,UNITS!$A$2:$I$9,4,FALSE)=0,"",$E33/VLOOKUP($C33,Table1[],4,FALSE)),"")</f>
        <v>8000</v>
      </c>
      <c r="I33" s="53" t="str">
        <f>IFERROR(IF(VLOOKUP($C33,UNITS!$A$2:$I$9,5,FALSE)=0,"",$E33/VLOOKUP($C33,Table1[],5,FALSE)),"")</f>
        <v/>
      </c>
      <c r="J33" s="53" t="str">
        <f>IFERROR(IF(VLOOKUP($C33,UNITS!$A$2:$I$9,6,FALSE)=0,"",$E33/VLOOKUP($C33,Table1[],6,FALSE)),"")</f>
        <v/>
      </c>
      <c r="K33" s="53">
        <f>IFERROR(IF(VLOOKUP($C33,UNITS!$A$2:$I$9,7,FALSE)=0,"",$E33/VLOOKUP($C33,Table1[],7,FALSE)),"")</f>
        <v>62.5</v>
      </c>
      <c r="L33" s="53">
        <f>IFERROR(IF(VLOOKUP($C33,UNITS!$A$2:$I$9,8,FALSE)=0,"",$E33/VLOOKUP($C33,Table1[],8,FALSE)),"")</f>
        <v>21.05263157894737</v>
      </c>
      <c r="M33" s="54" t="str">
        <f>IFERROR(IF(VLOOKUP($C33,UNITS!$A$2:$I$9,9,FALSE)=0,"",$E33/VLOOKUP($C33,Table1[],9,FALSE)),"")</f>
        <v/>
      </c>
    </row>
    <row r="34" spans="1:13" x14ac:dyDescent="0.35">
      <c r="A34" s="42" t="s">
        <v>142</v>
      </c>
      <c r="B34" s="24">
        <v>1</v>
      </c>
      <c r="C34" s="24" t="s">
        <v>8</v>
      </c>
      <c r="D34" s="55">
        <v>150</v>
      </c>
      <c r="E34" s="24">
        <f t="shared" si="0"/>
        <v>150</v>
      </c>
      <c r="F34" s="53" t="str">
        <f>IFERROR(IF(VLOOKUP($C34,UNITS!$A$2:$I$9,2,FALSE)=0,"",$E34/VLOOKUP($C34,Table1[],2,FALSE)),"")</f>
        <v/>
      </c>
      <c r="G34" s="53" t="str">
        <f>IFERROR(IF(VLOOKUP($C34,UNITS!$A$2:$I$9,3,FALSE)=0,"",$E34/VLOOKUP($C34,Table1[],3,FALSE)),"")</f>
        <v/>
      </c>
      <c r="H34" s="53" t="str">
        <f>IFERROR(IF(VLOOKUP($C34,UNITS!$A$2:$I$9,4,FALSE)=0,"",$E34/VLOOKUP($C34,Table1[],4,FALSE)),"")</f>
        <v/>
      </c>
      <c r="I34" s="53" t="str">
        <f>IFERROR(IF(VLOOKUP($C34,UNITS!$A$2:$I$9,5,FALSE)=0,"",$E34/VLOOKUP($C34,Table1[],5,FALSE)),"")</f>
        <v/>
      </c>
      <c r="J34" s="53" t="str">
        <f>IFERROR(IF(VLOOKUP($C34,UNITS!$A$2:$I$9,6,FALSE)=0,"",$E34/VLOOKUP($C34,Table1[],6,FALSE)),"")</f>
        <v/>
      </c>
      <c r="K34" s="53" t="str">
        <f>IFERROR(IF(VLOOKUP($C34,UNITS!$A$2:$I$9,7,FALSE)=0,"",$E34/VLOOKUP($C34,Table1[],7,FALSE)),"")</f>
        <v/>
      </c>
      <c r="L34" s="53" t="str">
        <f>IFERROR(IF(VLOOKUP($C34,UNITS!$A$2:$I$9,8,FALSE)=0,"",$E34/VLOOKUP($C34,Table1[],8,FALSE)),"")</f>
        <v/>
      </c>
      <c r="M34" s="54">
        <f>IFERROR(IF(VLOOKUP($C34,UNITS!$A$2:$I$9,9,FALSE)=0,"",$E34/VLOOKUP($C34,Table1[],9,FALSE)),"")</f>
        <v>150</v>
      </c>
    </row>
    <row r="35" spans="1:13" x14ac:dyDescent="0.35">
      <c r="A35" s="42" t="s">
        <v>50</v>
      </c>
      <c r="B35" s="24">
        <v>1</v>
      </c>
      <c r="C35" s="24" t="s">
        <v>8</v>
      </c>
      <c r="D35" s="55">
        <v>100</v>
      </c>
      <c r="E35" s="24">
        <f t="shared" ref="E35:E51" si="1">IFERROR(MROUND(IF(B35=0,"",D35/B35),0.01),"")</f>
        <v>100</v>
      </c>
      <c r="F35" s="53" t="str">
        <f>IFERROR(IF(VLOOKUP($C35,UNITS!$A$2:$I$9,2,FALSE)=0,"",$E35/VLOOKUP($C35,Table1[],2,FALSE)),"")</f>
        <v/>
      </c>
      <c r="G35" s="53" t="str">
        <f>IFERROR(IF(VLOOKUP($C35,UNITS!$A$2:$I$9,3,FALSE)=0,"",$E35/VLOOKUP($C35,Table1[],3,FALSE)),"")</f>
        <v/>
      </c>
      <c r="H35" s="53" t="str">
        <f>IFERROR(IF(VLOOKUP($C35,UNITS!$A$2:$I$9,4,FALSE)=0,"",$E35/VLOOKUP($C35,Table1[],4,FALSE)),"")</f>
        <v/>
      </c>
      <c r="I35" s="53" t="str">
        <f>IFERROR(IF(VLOOKUP($C35,UNITS!$A$2:$I$9,5,FALSE)=0,"",$E35/VLOOKUP($C35,Table1[],5,FALSE)),"")</f>
        <v/>
      </c>
      <c r="J35" s="53" t="str">
        <f>IFERROR(IF(VLOOKUP($C35,UNITS!$A$2:$I$9,6,FALSE)=0,"",$E35/VLOOKUP($C35,Table1[],6,FALSE)),"")</f>
        <v/>
      </c>
      <c r="K35" s="53" t="str">
        <f>IFERROR(IF(VLOOKUP($C35,UNITS!$A$2:$I$9,7,FALSE)=0,"",$E35/VLOOKUP($C35,Table1[],7,FALSE)),"")</f>
        <v/>
      </c>
      <c r="L35" s="53" t="str">
        <f>IFERROR(IF(VLOOKUP($C35,UNITS!$A$2:$I$9,8,FALSE)=0,"",$E35/VLOOKUP($C35,Table1[],8,FALSE)),"")</f>
        <v/>
      </c>
      <c r="M35" s="54">
        <f>IFERROR(IF(VLOOKUP($C35,UNITS!$A$2:$I$9,9,FALSE)=0,"",$E35/VLOOKUP($C35,Table1[],9,FALSE)),"")</f>
        <v>100</v>
      </c>
    </row>
    <row r="36" spans="1:13" x14ac:dyDescent="0.35">
      <c r="A36" s="42" t="s">
        <v>81</v>
      </c>
      <c r="B36" s="24">
        <v>1</v>
      </c>
      <c r="C36" s="24" t="s">
        <v>8</v>
      </c>
      <c r="D36" s="55">
        <v>150</v>
      </c>
      <c r="E36" s="24">
        <f t="shared" si="1"/>
        <v>150</v>
      </c>
      <c r="F36" s="53" t="str">
        <f>IFERROR(IF(VLOOKUP($C36,UNITS!$A$2:$I$9,2,FALSE)=0,"",$E36/VLOOKUP($C36,Table1[],2,FALSE)),"")</f>
        <v/>
      </c>
      <c r="G36" s="53" t="str">
        <f>IFERROR(IF(VLOOKUP($C36,UNITS!$A$2:$I$9,3,FALSE)=0,"",$E36/VLOOKUP($C36,Table1[],3,FALSE)),"")</f>
        <v/>
      </c>
      <c r="H36" s="53" t="str">
        <f>IFERROR(IF(VLOOKUP($C36,UNITS!$A$2:$I$9,4,FALSE)=0,"",$E36/VLOOKUP($C36,Table1[],4,FALSE)),"")</f>
        <v/>
      </c>
      <c r="I36" s="53" t="str">
        <f>IFERROR(IF(VLOOKUP($C36,UNITS!$A$2:$I$9,5,FALSE)=0,"",$E36/VLOOKUP($C36,Table1[],5,FALSE)),"")</f>
        <v/>
      </c>
      <c r="J36" s="53" t="str">
        <f>IFERROR(IF(VLOOKUP($C36,UNITS!$A$2:$I$9,6,FALSE)=0,"",$E36/VLOOKUP($C36,Table1[],6,FALSE)),"")</f>
        <v/>
      </c>
      <c r="K36" s="53" t="str">
        <f>IFERROR(IF(VLOOKUP($C36,UNITS!$A$2:$I$9,7,FALSE)=0,"",$E36/VLOOKUP($C36,Table1[],7,FALSE)),"")</f>
        <v/>
      </c>
      <c r="L36" s="53" t="str">
        <f>IFERROR(IF(VLOOKUP($C36,UNITS!$A$2:$I$9,8,FALSE)=0,"",$E36/VLOOKUP($C36,Table1[],8,FALSE)),"")</f>
        <v/>
      </c>
      <c r="M36" s="54">
        <f>IFERROR(IF(VLOOKUP($C36,UNITS!$A$2:$I$9,9,FALSE)=0,"",$E36/VLOOKUP($C36,Table1[],9,FALSE)),"")</f>
        <v>150</v>
      </c>
    </row>
    <row r="37" spans="1:13" x14ac:dyDescent="0.35">
      <c r="A37" s="43" t="s">
        <v>36</v>
      </c>
      <c r="B37" s="56">
        <v>750</v>
      </c>
      <c r="C37" s="56" t="s">
        <v>5</v>
      </c>
      <c r="D37" s="57">
        <v>2200</v>
      </c>
      <c r="E37" s="56">
        <f t="shared" si="1"/>
        <v>2.93</v>
      </c>
      <c r="F37" s="53">
        <f>IFERROR(IF(VLOOKUP($C37,UNITS!$A$2:$I$9,2,FALSE)=0,"",$E37/VLOOKUP($C37,Table1[],2,FALSE)),"")</f>
        <v>732.5</v>
      </c>
      <c r="G37" s="53" t="str">
        <f>IFERROR(IF(VLOOKUP($C37,UNITS!$A$2:$I$9,3,FALSE)=0,"",$E37/VLOOKUP($C37,Table1[],3,FALSE)),"")</f>
        <v/>
      </c>
      <c r="H37" s="53" t="str">
        <f>IFERROR(IF(VLOOKUP($C37,UNITS!$A$2:$I$9,4,FALSE)=0,"",$E37/VLOOKUP($C37,Table1[],4,FALSE)),"")</f>
        <v/>
      </c>
      <c r="I37" s="53">
        <f>IFERROR(IF(VLOOKUP($C37,UNITS!$A$2:$I$9,5,FALSE)=0,"",$E37/VLOOKUP($C37,Table1[],5,FALSE)),"")</f>
        <v>2930</v>
      </c>
      <c r="J37" s="53">
        <f>IFERROR(IF(VLOOKUP($C37,UNITS!$A$2:$I$9,6,FALSE)=0,"",$E37/VLOOKUP($C37,Table1[],6,FALSE)),"")</f>
        <v>2.93</v>
      </c>
      <c r="K37" s="53">
        <f>IFERROR(IF(VLOOKUP($C37,UNITS!$A$2:$I$9,7,FALSE)=0,"",$E37/VLOOKUP($C37,Table1[],7,FALSE)),"")</f>
        <v>45.78125</v>
      </c>
      <c r="L37" s="53">
        <f>IFERROR(IF(VLOOKUP($C37,UNITS!$A$2:$I$9,8,FALSE)=0,"",$E37/VLOOKUP($C37,Table1[],8,FALSE)),"")</f>
        <v>15.421052631578949</v>
      </c>
      <c r="M37" s="54" t="str">
        <f>IFERROR(IF(VLOOKUP($C37,UNITS!$A$2:$I$9,9,FALSE)=0,"",$E37/VLOOKUP($C37,Table1[],9,FALSE)),"")</f>
        <v/>
      </c>
    </row>
    <row r="38" spans="1:13" x14ac:dyDescent="0.35">
      <c r="A38" s="43" t="s">
        <v>122</v>
      </c>
      <c r="B38" s="56">
        <v>30</v>
      </c>
      <c r="C38" s="56" t="s">
        <v>8</v>
      </c>
      <c r="D38" s="57">
        <v>22000</v>
      </c>
      <c r="E38" s="56">
        <f t="shared" si="1"/>
        <v>733.33</v>
      </c>
      <c r="F38" s="53" t="str">
        <f>IFERROR(IF(VLOOKUP($C38,UNITS!$A$2:$I$9,2,FALSE)=0,"",$E38/VLOOKUP($C38,Table1[],2,FALSE)),"")</f>
        <v/>
      </c>
      <c r="G38" s="53" t="str">
        <f>IFERROR(IF(VLOOKUP($C38,UNITS!$A$2:$I$9,3,FALSE)=0,"",$E38/VLOOKUP($C38,Table1[],3,FALSE)),"")</f>
        <v/>
      </c>
      <c r="H38" s="53" t="str">
        <f>IFERROR(IF(VLOOKUP($C38,UNITS!$A$2:$I$9,4,FALSE)=0,"",$E38/VLOOKUP($C38,Table1[],4,FALSE)),"")</f>
        <v/>
      </c>
      <c r="I38" s="53" t="str">
        <f>IFERROR(IF(VLOOKUP($C38,UNITS!$A$2:$I$9,5,FALSE)=0,"",$E38/VLOOKUP($C38,Table1[],5,FALSE)),"")</f>
        <v/>
      </c>
      <c r="J38" s="53" t="str">
        <f>IFERROR(IF(VLOOKUP($C38,UNITS!$A$2:$I$9,6,FALSE)=0,"",$E38/VLOOKUP($C38,Table1[],6,FALSE)),"")</f>
        <v/>
      </c>
      <c r="K38" s="53" t="str">
        <f>IFERROR(IF(VLOOKUP($C38,UNITS!$A$2:$I$9,7,FALSE)=0,"",$E38/VLOOKUP($C38,Table1[],7,FALSE)),"")</f>
        <v/>
      </c>
      <c r="L38" s="53" t="str">
        <f>IFERROR(IF(VLOOKUP($C38,UNITS!$A$2:$I$9,8,FALSE)=0,"",$E38/VLOOKUP($C38,Table1[],8,FALSE)),"")</f>
        <v/>
      </c>
      <c r="M38" s="54">
        <f>IFERROR(IF(VLOOKUP($C38,UNITS!$A$2:$I$9,9,FALSE)=0,"",$E38/VLOOKUP($C38,Table1[],9,FALSE)),"")</f>
        <v>733.33</v>
      </c>
    </row>
    <row r="39" spans="1:13" x14ac:dyDescent="0.35">
      <c r="A39" s="42" t="s">
        <v>45</v>
      </c>
      <c r="B39" s="24">
        <v>1</v>
      </c>
      <c r="C39" s="24" t="s">
        <v>1</v>
      </c>
      <c r="D39" s="55">
        <v>400</v>
      </c>
      <c r="E39" s="24">
        <f t="shared" si="1"/>
        <v>400</v>
      </c>
      <c r="F39" s="53">
        <f>IFERROR(IF(VLOOKUP($C39,UNITS!$A$2:$I$9,2,FALSE)=0,"",$E39/VLOOKUP($C39,Table1[],2,FALSE)),"")</f>
        <v>400</v>
      </c>
      <c r="G39" s="53">
        <f>IFERROR(IF(VLOOKUP($C39,UNITS!$A$2:$I$9,3,FALSE)=0,"",$E39/VLOOKUP($C39,Table1[],3,FALSE)),"")</f>
        <v>3.2</v>
      </c>
      <c r="H39" s="53">
        <f>IFERROR(IF(VLOOKUP($C39,UNITS!$A$2:$I$9,4,FALSE)=0,"",$E39/VLOOKUP($C39,Table1[],4,FALSE)),"")</f>
        <v>3200</v>
      </c>
      <c r="I39" s="53">
        <f>IFERROR(IF(VLOOKUP($C39,UNITS!$A$2:$I$9,5,FALSE)=0,"",$E39/VLOOKUP($C39,Table1[],5,FALSE)),"")</f>
        <v>1600</v>
      </c>
      <c r="J39" s="53">
        <f>IFERROR(IF(VLOOKUP($C39,UNITS!$A$2:$I$9,6,FALSE)=0,"",$E39/VLOOKUP($C39,Table1[],6,FALSE)),"")</f>
        <v>1.6</v>
      </c>
      <c r="K39" s="53">
        <f>IFERROR(IF(VLOOKUP($C39,UNITS!$A$2:$I$9,7,FALSE)=0,"",$E39/VLOOKUP($C39,Table1[],7,FALSE)),"")</f>
        <v>25</v>
      </c>
      <c r="L39" s="53">
        <f>IFERROR(IF(VLOOKUP($C39,UNITS!$A$2:$I$9,8,FALSE)=0,"",$E39/VLOOKUP($C39,Table1[],8,FALSE)),"")</f>
        <v>8.3333333333333339</v>
      </c>
      <c r="M39" s="54" t="str">
        <f>IFERROR(IF(VLOOKUP($C39,UNITS!$A$2:$I$9,9,FALSE)=0,"",$E39/VLOOKUP($C39,Table1[],9,FALSE)),"")</f>
        <v/>
      </c>
    </row>
    <row r="40" spans="1:13" x14ac:dyDescent="0.35">
      <c r="A40" s="41" t="s">
        <v>37</v>
      </c>
      <c r="B40" s="52">
        <v>1</v>
      </c>
      <c r="C40" s="52" t="s">
        <v>3</v>
      </c>
      <c r="D40" s="53">
        <v>2000</v>
      </c>
      <c r="E40" s="52">
        <f t="shared" si="1"/>
        <v>2000</v>
      </c>
      <c r="F40" s="53">
        <f>IFERROR(IF(VLOOKUP($C40,UNITS!$A$2:$I$9,2,FALSE)=0,"",$E40/VLOOKUP($C40,Table1[],2,FALSE)),"")</f>
        <v>250</v>
      </c>
      <c r="G40" s="53">
        <f>IFERROR(IF(VLOOKUP($C40,UNITS!$A$2:$I$9,3,FALSE)=0,"",$E40/VLOOKUP($C40,Table1[],3,FALSE)),"")</f>
        <v>2</v>
      </c>
      <c r="H40" s="53">
        <f>IFERROR(IF(VLOOKUP($C40,UNITS!$A$2:$I$9,4,FALSE)=0,"",$E40/VLOOKUP($C40,Table1[],4,FALSE)),"")</f>
        <v>2000</v>
      </c>
      <c r="I40" s="53" t="str">
        <f>IFERROR(IF(VLOOKUP($C40,UNITS!$A$2:$I$9,5,FALSE)=0,"",$E40/VLOOKUP($C40,Table1[],5,FALSE)),"")</f>
        <v/>
      </c>
      <c r="J40" s="53" t="str">
        <f>IFERROR(IF(VLOOKUP($C40,UNITS!$A$2:$I$9,6,FALSE)=0,"",$E40/VLOOKUP($C40,Table1[],6,FALSE)),"")</f>
        <v/>
      </c>
      <c r="K40" s="53">
        <f>IFERROR(IF(VLOOKUP($C40,UNITS!$A$2:$I$9,7,FALSE)=0,"",$E40/VLOOKUP($C40,Table1[],7,FALSE)),"")</f>
        <v>15.625</v>
      </c>
      <c r="L40" s="53">
        <f>IFERROR(IF(VLOOKUP($C40,UNITS!$A$2:$I$9,8,FALSE)=0,"",$E40/VLOOKUP($C40,Table1[],8,FALSE)),"")</f>
        <v>5.2631578947368425</v>
      </c>
      <c r="M40" s="54" t="str">
        <f>IFERROR(IF(VLOOKUP($C40,UNITS!$A$2:$I$9,9,FALSE)=0,"",$E40/VLOOKUP($C40,Table1[],9,FALSE)),"")</f>
        <v/>
      </c>
    </row>
    <row r="41" spans="1:13" x14ac:dyDescent="0.35">
      <c r="A41" s="42" t="s">
        <v>38</v>
      </c>
      <c r="B41" s="24">
        <v>1</v>
      </c>
      <c r="C41" s="24" t="s">
        <v>3</v>
      </c>
      <c r="D41" s="55">
        <v>2000</v>
      </c>
      <c r="E41" s="24">
        <f t="shared" si="1"/>
        <v>2000</v>
      </c>
      <c r="F41" s="53">
        <f>IFERROR(IF(VLOOKUP($C41,UNITS!$A$2:$I$9,2,FALSE)=0,"",$E41/VLOOKUP($C41,Table1[],2,FALSE)),"")</f>
        <v>250</v>
      </c>
      <c r="G41" s="53">
        <f>IFERROR(IF(VLOOKUP($C41,UNITS!$A$2:$I$9,3,FALSE)=0,"",$E41/VLOOKUP($C41,Table1[],3,FALSE)),"")</f>
        <v>2</v>
      </c>
      <c r="H41" s="53">
        <f>IFERROR(IF(VLOOKUP($C41,UNITS!$A$2:$I$9,4,FALSE)=0,"",$E41/VLOOKUP($C41,Table1[],4,FALSE)),"")</f>
        <v>2000</v>
      </c>
      <c r="I41" s="53" t="str">
        <f>IFERROR(IF(VLOOKUP($C41,UNITS!$A$2:$I$9,5,FALSE)=0,"",$E41/VLOOKUP($C41,Table1[],5,FALSE)),"")</f>
        <v/>
      </c>
      <c r="J41" s="53" t="str">
        <f>IFERROR(IF(VLOOKUP($C41,UNITS!$A$2:$I$9,6,FALSE)=0,"",$E41/VLOOKUP($C41,Table1[],6,FALSE)),"")</f>
        <v/>
      </c>
      <c r="K41" s="53">
        <f>IFERROR(IF(VLOOKUP($C41,UNITS!$A$2:$I$9,7,FALSE)=0,"",$E41/VLOOKUP($C41,Table1[],7,FALSE)),"")</f>
        <v>15.625</v>
      </c>
      <c r="L41" s="53">
        <f>IFERROR(IF(VLOOKUP($C41,UNITS!$A$2:$I$9,8,FALSE)=0,"",$E41/VLOOKUP($C41,Table1[],8,FALSE)),"")</f>
        <v>5.2631578947368425</v>
      </c>
      <c r="M41" s="54" t="str">
        <f>IFERROR(IF(VLOOKUP($C41,UNITS!$A$2:$I$9,9,FALSE)=0,"",$E41/VLOOKUP($C41,Table1[],9,FALSE)),"")</f>
        <v/>
      </c>
    </row>
    <row r="42" spans="1:13" x14ac:dyDescent="0.35">
      <c r="A42" s="42" t="s">
        <v>108</v>
      </c>
      <c r="B42" s="24">
        <v>1</v>
      </c>
      <c r="C42" s="24" t="s">
        <v>3</v>
      </c>
      <c r="D42" s="55">
        <v>7600</v>
      </c>
      <c r="E42" s="24">
        <f t="shared" si="1"/>
        <v>7600</v>
      </c>
      <c r="F42" s="53">
        <f>IFERROR(IF(VLOOKUP($C42,UNITS!$A$2:$I$9,2,FALSE)=0,"",$E42/VLOOKUP($C42,Table1[],2,FALSE)),"")</f>
        <v>950</v>
      </c>
      <c r="G42" s="53">
        <f>IFERROR(IF(VLOOKUP($C42,UNITS!$A$2:$I$9,3,FALSE)=0,"",$E42/VLOOKUP($C42,Table1[],3,FALSE)),"")</f>
        <v>7.6</v>
      </c>
      <c r="H42" s="53">
        <f>IFERROR(IF(VLOOKUP($C42,UNITS!$A$2:$I$9,4,FALSE)=0,"",$E42/VLOOKUP($C42,Table1[],4,FALSE)),"")</f>
        <v>7600</v>
      </c>
      <c r="I42" s="53" t="str">
        <f>IFERROR(IF(VLOOKUP($C42,UNITS!$A$2:$I$9,5,FALSE)=0,"",$E42/VLOOKUP($C42,Table1[],5,FALSE)),"")</f>
        <v/>
      </c>
      <c r="J42" s="53" t="str">
        <f>IFERROR(IF(VLOOKUP($C42,UNITS!$A$2:$I$9,6,FALSE)=0,"",$E42/VLOOKUP($C42,Table1[],6,FALSE)),"")</f>
        <v/>
      </c>
      <c r="K42" s="53">
        <f>IFERROR(IF(VLOOKUP($C42,UNITS!$A$2:$I$9,7,FALSE)=0,"",$E42/VLOOKUP($C42,Table1[],7,FALSE)),"")</f>
        <v>59.375</v>
      </c>
      <c r="L42" s="53">
        <f>IFERROR(IF(VLOOKUP($C42,UNITS!$A$2:$I$9,8,FALSE)=0,"",$E42/VLOOKUP($C42,Table1[],8,FALSE)),"")</f>
        <v>20</v>
      </c>
      <c r="M42" s="54" t="str">
        <f>IFERROR(IF(VLOOKUP($C42,UNITS!$A$2:$I$9,9,FALSE)=0,"",$E42/VLOOKUP($C42,Table1[],9,FALSE)),"")</f>
        <v/>
      </c>
    </row>
    <row r="43" spans="1:13" x14ac:dyDescent="0.35">
      <c r="A43" s="43" t="s">
        <v>39</v>
      </c>
      <c r="B43" s="56">
        <v>250</v>
      </c>
      <c r="C43" s="56" t="s">
        <v>2</v>
      </c>
      <c r="D43" s="57">
        <v>200</v>
      </c>
      <c r="E43" s="56">
        <f t="shared" si="1"/>
        <v>0.8</v>
      </c>
      <c r="F43" s="53">
        <f>IFERROR(IF(VLOOKUP($C43,UNITS!$A$2:$I$9,2,FALSE)=0,"",$E43/VLOOKUP($C43,Table1[],2,FALSE)),"")</f>
        <v>96.038415366146452</v>
      </c>
      <c r="G43" s="53">
        <f>IFERROR(IF(VLOOKUP($C43,UNITS!$A$2:$I$9,3,FALSE)=0,"",$E43/VLOOKUP($C43,Table1[],3,FALSE)),"")</f>
        <v>0.8</v>
      </c>
      <c r="H43" s="53">
        <f>IFERROR(IF(VLOOKUP($C43,UNITS!$A$2:$I$9,4,FALSE)=0,"",$E43/VLOOKUP($C43,Table1[],4,FALSE)),"")</f>
        <v>800</v>
      </c>
      <c r="I43" s="53" t="str">
        <f>IFERROR(IF(VLOOKUP($C43,UNITS!$A$2:$I$9,5,FALSE)=0,"",$E43/VLOOKUP($C43,Table1[],5,FALSE)),"")</f>
        <v/>
      </c>
      <c r="J43" s="53" t="str">
        <f>IFERROR(IF(VLOOKUP($C43,UNITS!$A$2:$I$9,6,FALSE)=0,"",$E43/VLOOKUP($C43,Table1[],6,FALSE)),"")</f>
        <v/>
      </c>
      <c r="K43" s="53">
        <f>IFERROR(IF(VLOOKUP($C43,UNITS!$A$2:$I$9,7,FALSE)=0,"",$E43/VLOOKUP($C43,Table1[],7,FALSE)),"")</f>
        <v>6.25</v>
      </c>
      <c r="L43" s="53">
        <f>IFERROR(IF(VLOOKUP($C43,UNITS!$A$2:$I$9,8,FALSE)=0,"",$E43/VLOOKUP($C43,Table1[],8,FALSE)),"")</f>
        <v>2.1052631578947367</v>
      </c>
      <c r="M43" s="54" t="str">
        <f>IFERROR(IF(VLOOKUP($C43,UNITS!$A$2:$I$9,9,FALSE)=0,"",$E43/VLOOKUP($C43,Table1[],9,FALSE)),"")</f>
        <v/>
      </c>
    </row>
    <row r="44" spans="1:13" x14ac:dyDescent="0.35">
      <c r="A44" s="42" t="s">
        <v>49</v>
      </c>
      <c r="B44" s="24">
        <v>500</v>
      </c>
      <c r="C44" s="24" t="s">
        <v>5</v>
      </c>
      <c r="D44" s="55">
        <v>350</v>
      </c>
      <c r="E44" s="24">
        <f t="shared" si="1"/>
        <v>0.70000000000000007</v>
      </c>
      <c r="F44" s="53">
        <f>IFERROR(IF(VLOOKUP($C44,UNITS!$A$2:$I$9,2,FALSE)=0,"",$E44/VLOOKUP($C44,Table1[],2,FALSE)),"")</f>
        <v>175</v>
      </c>
      <c r="G44" s="53" t="str">
        <f>IFERROR(IF(VLOOKUP($C44,UNITS!$A$2:$I$9,3,FALSE)=0,"",$E44/VLOOKUP($C44,Table1[],3,FALSE)),"")</f>
        <v/>
      </c>
      <c r="H44" s="53" t="str">
        <f>IFERROR(IF(VLOOKUP($C44,UNITS!$A$2:$I$9,4,FALSE)=0,"",$E44/VLOOKUP($C44,Table1[],4,FALSE)),"")</f>
        <v/>
      </c>
      <c r="I44" s="53">
        <f>IFERROR(IF(VLOOKUP($C44,UNITS!$A$2:$I$9,5,FALSE)=0,"",$E44/VLOOKUP($C44,Table1[],5,FALSE)),"")</f>
        <v>700</v>
      </c>
      <c r="J44" s="53">
        <f>IFERROR(IF(VLOOKUP($C44,UNITS!$A$2:$I$9,6,FALSE)=0,"",$E44/VLOOKUP($C44,Table1[],6,FALSE)),"")</f>
        <v>0.70000000000000007</v>
      </c>
      <c r="K44" s="53">
        <f>IFERROR(IF(VLOOKUP($C44,UNITS!$A$2:$I$9,7,FALSE)=0,"",$E44/VLOOKUP($C44,Table1[],7,FALSE)),"")</f>
        <v>10.9375</v>
      </c>
      <c r="L44" s="53">
        <f>IFERROR(IF(VLOOKUP($C44,UNITS!$A$2:$I$9,8,FALSE)=0,"",$E44/VLOOKUP($C44,Table1[],8,FALSE)),"")</f>
        <v>3.6842105263157898</v>
      </c>
      <c r="M44" s="54" t="str">
        <f>IFERROR(IF(VLOOKUP($C44,UNITS!$A$2:$I$9,9,FALSE)=0,"",$E44/VLOOKUP($C44,Table1[],9,FALSE)),"")</f>
        <v/>
      </c>
    </row>
    <row r="45" spans="1:13" x14ac:dyDescent="0.35">
      <c r="A45" s="41" t="s">
        <v>40</v>
      </c>
      <c r="B45" s="52">
        <v>1</v>
      </c>
      <c r="C45" s="52" t="s">
        <v>3</v>
      </c>
      <c r="D45" s="53">
        <v>2000</v>
      </c>
      <c r="E45" s="52">
        <f t="shared" si="1"/>
        <v>2000</v>
      </c>
      <c r="F45" s="53">
        <f>IFERROR(IF(VLOOKUP($C45,UNITS!$A$2:$I$9,2,FALSE)=0,"",$E45/VLOOKUP($C45,Table1[],2,FALSE)),"")</f>
        <v>250</v>
      </c>
      <c r="G45" s="53">
        <f>IFERROR(IF(VLOOKUP($C45,UNITS!$A$2:$I$9,3,FALSE)=0,"",$E45/VLOOKUP($C45,Table1[],3,FALSE)),"")</f>
        <v>2</v>
      </c>
      <c r="H45" s="53">
        <f>IFERROR(IF(VLOOKUP($C45,UNITS!$A$2:$I$9,4,FALSE)=0,"",$E45/VLOOKUP($C45,Table1[],4,FALSE)),"")</f>
        <v>2000</v>
      </c>
      <c r="I45" s="53" t="str">
        <f>IFERROR(IF(VLOOKUP($C45,UNITS!$A$2:$I$9,5,FALSE)=0,"",$E45/VLOOKUP($C45,Table1[],5,FALSE)),"")</f>
        <v/>
      </c>
      <c r="J45" s="53" t="str">
        <f>IFERROR(IF(VLOOKUP($C45,UNITS!$A$2:$I$9,6,FALSE)=0,"",$E45/VLOOKUP($C45,Table1[],6,FALSE)),"")</f>
        <v/>
      </c>
      <c r="K45" s="53">
        <f>IFERROR(IF(VLOOKUP($C45,UNITS!$A$2:$I$9,7,FALSE)=0,"",$E45/VLOOKUP($C45,Table1[],7,FALSE)),"")</f>
        <v>15.625</v>
      </c>
      <c r="L45" s="53">
        <f>IFERROR(IF(VLOOKUP($C45,UNITS!$A$2:$I$9,8,FALSE)=0,"",$E45/VLOOKUP($C45,Table1[],8,FALSE)),"")</f>
        <v>5.2631578947368425</v>
      </c>
      <c r="M45" s="54" t="str">
        <f>IFERROR(IF(VLOOKUP($C45,UNITS!$A$2:$I$9,9,FALSE)=0,"",$E45/VLOOKUP($C45,Table1[],9,FALSE)),"")</f>
        <v/>
      </c>
    </row>
    <row r="46" spans="1:13" x14ac:dyDescent="0.35">
      <c r="A46" s="42" t="s">
        <v>41</v>
      </c>
      <c r="B46" s="24">
        <v>1</v>
      </c>
      <c r="C46" s="24" t="s">
        <v>3</v>
      </c>
      <c r="D46" s="55">
        <v>9000</v>
      </c>
      <c r="E46" s="24">
        <f t="shared" si="1"/>
        <v>9000</v>
      </c>
      <c r="F46" s="53">
        <f>IFERROR(IF(VLOOKUP($C46,UNITS!$A$2:$I$9,2,FALSE)=0,"",$E46/VLOOKUP($C46,Table1[],2,FALSE)),"")</f>
        <v>1125</v>
      </c>
      <c r="G46" s="53">
        <f>IFERROR(IF(VLOOKUP($C46,UNITS!$A$2:$I$9,3,FALSE)=0,"",$E46/VLOOKUP($C46,Table1[],3,FALSE)),"")</f>
        <v>9</v>
      </c>
      <c r="H46" s="53">
        <f>IFERROR(IF(VLOOKUP($C46,UNITS!$A$2:$I$9,4,FALSE)=0,"",$E46/VLOOKUP($C46,Table1[],4,FALSE)),"")</f>
        <v>9000</v>
      </c>
      <c r="I46" s="53" t="str">
        <f>IFERROR(IF(VLOOKUP($C46,UNITS!$A$2:$I$9,5,FALSE)=0,"",$E46/VLOOKUP($C46,Table1[],5,FALSE)),"")</f>
        <v/>
      </c>
      <c r="J46" s="53" t="str">
        <f>IFERROR(IF(VLOOKUP($C46,UNITS!$A$2:$I$9,6,FALSE)=0,"",$E46/VLOOKUP($C46,Table1[],6,FALSE)),"")</f>
        <v/>
      </c>
      <c r="K46" s="53">
        <f>IFERROR(IF(VLOOKUP($C46,UNITS!$A$2:$I$9,7,FALSE)=0,"",$E46/VLOOKUP($C46,Table1[],7,FALSE)),"")</f>
        <v>70.3125</v>
      </c>
      <c r="L46" s="53">
        <f>IFERROR(IF(VLOOKUP($C46,UNITS!$A$2:$I$9,8,FALSE)=0,"",$E46/VLOOKUP($C46,Table1[],8,FALSE)),"")</f>
        <v>23.684210526315791</v>
      </c>
      <c r="M46" s="54" t="str">
        <f>IFERROR(IF(VLOOKUP($C46,UNITS!$A$2:$I$9,9,FALSE)=0,"",$E46/VLOOKUP($C46,Table1[],9,FALSE)),"")</f>
        <v/>
      </c>
    </row>
    <row r="47" spans="1:13" x14ac:dyDescent="0.35">
      <c r="A47" s="42" t="s">
        <v>92</v>
      </c>
      <c r="B47" s="24">
        <v>250</v>
      </c>
      <c r="C47" s="24" t="s">
        <v>5</v>
      </c>
      <c r="D47" s="55">
        <v>220</v>
      </c>
      <c r="E47" s="24">
        <f t="shared" si="1"/>
        <v>0.88</v>
      </c>
      <c r="F47" s="53">
        <f>IFERROR(IF(VLOOKUP($C47,UNITS!$A$2:$I$9,2,FALSE)=0,"",$E47/VLOOKUP($C47,Table1[],2,FALSE)),"")</f>
        <v>220</v>
      </c>
      <c r="G47" s="53" t="str">
        <f>IFERROR(IF(VLOOKUP($C47,UNITS!$A$2:$I$9,3,FALSE)=0,"",$E47/VLOOKUP($C47,Table1[],3,FALSE)),"")</f>
        <v/>
      </c>
      <c r="H47" s="53" t="str">
        <f>IFERROR(IF(VLOOKUP($C47,UNITS!$A$2:$I$9,4,FALSE)=0,"",$E47/VLOOKUP($C47,Table1[],4,FALSE)),"")</f>
        <v/>
      </c>
      <c r="I47" s="53">
        <f>IFERROR(IF(VLOOKUP($C47,UNITS!$A$2:$I$9,5,FALSE)=0,"",$E47/VLOOKUP($C47,Table1[],5,FALSE)),"")</f>
        <v>880</v>
      </c>
      <c r="J47" s="53">
        <f>IFERROR(IF(VLOOKUP($C47,UNITS!$A$2:$I$9,6,FALSE)=0,"",$E47/VLOOKUP($C47,Table1[],6,FALSE)),"")</f>
        <v>0.88</v>
      </c>
      <c r="K47" s="53">
        <f>IFERROR(IF(VLOOKUP($C47,UNITS!$A$2:$I$9,7,FALSE)=0,"",$E47/VLOOKUP($C47,Table1[],7,FALSE)),"")</f>
        <v>13.75</v>
      </c>
      <c r="L47" s="53">
        <f>IFERROR(IF(VLOOKUP($C47,UNITS!$A$2:$I$9,8,FALSE)=0,"",$E47/VLOOKUP($C47,Table1[],8,FALSE)),"")</f>
        <v>4.6315789473684212</v>
      </c>
      <c r="M47" s="54" t="str">
        <f>IFERROR(IF(VLOOKUP($C47,UNITS!$A$2:$I$9,9,FALSE)=0,"",$E47/VLOOKUP($C47,Table1[],9,FALSE)),"")</f>
        <v/>
      </c>
    </row>
    <row r="48" spans="1:13" x14ac:dyDescent="0.35">
      <c r="A48" s="46" t="s">
        <v>42</v>
      </c>
      <c r="B48" s="62">
        <v>700</v>
      </c>
      <c r="C48" s="56" t="s">
        <v>5</v>
      </c>
      <c r="D48" s="63">
        <v>700</v>
      </c>
      <c r="E48" s="62">
        <f t="shared" si="1"/>
        <v>1</v>
      </c>
      <c r="F48" s="53">
        <f>IFERROR(IF(VLOOKUP($C48,UNITS!$A$2:$I$9,2,FALSE)=0,"",$E48/VLOOKUP($C48,Table1[],2,FALSE)),"")</f>
        <v>250</v>
      </c>
      <c r="G48" s="53" t="str">
        <f>IFERROR(IF(VLOOKUP($C48,UNITS!$A$2:$I$9,3,FALSE)=0,"",$E48/VLOOKUP($C48,Table1[],3,FALSE)),"")</f>
        <v/>
      </c>
      <c r="H48" s="53" t="str">
        <f>IFERROR(IF(VLOOKUP($C48,UNITS!$A$2:$I$9,4,FALSE)=0,"",$E48/VLOOKUP($C48,Table1[],4,FALSE)),"")</f>
        <v/>
      </c>
      <c r="I48" s="53">
        <f>IFERROR(IF(VLOOKUP($C48,UNITS!$A$2:$I$9,5,FALSE)=0,"",$E48/VLOOKUP($C48,Table1[],5,FALSE)),"")</f>
        <v>1000</v>
      </c>
      <c r="J48" s="53">
        <f>IFERROR(IF(VLOOKUP($C48,UNITS!$A$2:$I$9,6,FALSE)=0,"",$E48/VLOOKUP($C48,Table1[],6,FALSE)),"")</f>
        <v>1</v>
      </c>
      <c r="K48" s="53">
        <f>IFERROR(IF(VLOOKUP($C48,UNITS!$A$2:$I$9,7,FALSE)=0,"",$E48/VLOOKUP($C48,Table1[],7,FALSE)),"")</f>
        <v>15.625</v>
      </c>
      <c r="L48" s="53">
        <f>IFERROR(IF(VLOOKUP($C48,UNITS!$A$2:$I$9,8,FALSE)=0,"",$E48/VLOOKUP($C48,Table1[],8,FALSE)),"")</f>
        <v>5.2631578947368425</v>
      </c>
      <c r="M48" s="54" t="str">
        <f>IFERROR(IF(VLOOKUP($C48,UNITS!$A$2:$I$9,9,FALSE)=0,"",$E48/VLOOKUP($C48,Table1[],9,FALSE)),"")</f>
        <v/>
      </c>
    </row>
    <row r="49" spans="1:13" x14ac:dyDescent="0.35">
      <c r="A49" s="44" t="s">
        <v>43</v>
      </c>
      <c r="B49" s="58">
        <v>25</v>
      </c>
      <c r="C49" s="60" t="s">
        <v>4</v>
      </c>
      <c r="D49" s="59">
        <v>200</v>
      </c>
      <c r="E49" s="58">
        <f t="shared" si="1"/>
        <v>8</v>
      </c>
      <c r="F49" s="53">
        <f>IFERROR(IF(VLOOKUP($C49,UNITS!$A$2:$I$9,2,FALSE)=0,"",$E49/VLOOKUP($C49,Table1[],2,FALSE)),"")</f>
        <v>2</v>
      </c>
      <c r="G49" s="53" t="str">
        <f>IFERROR(IF(VLOOKUP($C49,UNITS!$A$2:$I$9,3,FALSE)=0,"",$E49/VLOOKUP($C49,Table1[],3,FALSE)),"")</f>
        <v/>
      </c>
      <c r="H49" s="53" t="str">
        <f>IFERROR(IF(VLOOKUP($C49,UNITS!$A$2:$I$9,4,FALSE)=0,"",$E49/VLOOKUP($C49,Table1[],4,FALSE)),"")</f>
        <v/>
      </c>
      <c r="I49" s="53">
        <f>IFERROR(IF(VLOOKUP($C49,UNITS!$A$2:$I$9,5,FALSE)=0,"",$E49/VLOOKUP($C49,Table1[],5,FALSE)),"")</f>
        <v>8</v>
      </c>
      <c r="J49" s="53">
        <f>IFERROR(IF(VLOOKUP($C49,UNITS!$A$2:$I$9,6,FALSE)=0,"",$E49/VLOOKUP($C49,Table1[],6,FALSE)),"")</f>
        <v>8.0000000000000002E-3</v>
      </c>
      <c r="K49" s="53">
        <f>IFERROR(IF(VLOOKUP($C49,UNITS!$A$2:$I$9,7,FALSE)=0,"",$E49/VLOOKUP($C49,Table1[],7,FALSE)),"")</f>
        <v>0.12480499219968799</v>
      </c>
      <c r="L49" s="53">
        <f>IFERROR(IF(VLOOKUP($C49,UNITS!$A$2:$I$9,8,FALSE)=0,"",$E49/VLOOKUP($C49,Table1[],8,FALSE)),"")</f>
        <v>4.1601664066562662E-2</v>
      </c>
      <c r="M49" s="54" t="str">
        <f>IFERROR(IF(VLOOKUP($C49,UNITS!$A$2:$I$9,9,FALSE)=0,"",$E49/VLOOKUP($C49,Table1[],9,FALSE)),"")</f>
        <v/>
      </c>
    </row>
    <row r="50" spans="1:13" x14ac:dyDescent="0.35">
      <c r="A50" s="43" t="s">
        <v>44</v>
      </c>
      <c r="B50" s="56">
        <v>10</v>
      </c>
      <c r="C50" s="56" t="s">
        <v>2</v>
      </c>
      <c r="D50" s="57">
        <v>150</v>
      </c>
      <c r="E50" s="56">
        <f t="shared" si="1"/>
        <v>15</v>
      </c>
      <c r="F50" s="53">
        <f>IFERROR(IF(VLOOKUP($C50,UNITS!$A$2:$I$9,2,FALSE)=0,"",$E50/VLOOKUP($C50,Table1[],2,FALSE)),"")</f>
        <v>1800.7202881152459</v>
      </c>
      <c r="G50" s="53">
        <f>IFERROR(IF(VLOOKUP($C50,UNITS!$A$2:$I$9,3,FALSE)=0,"",$E50/VLOOKUP($C50,Table1[],3,FALSE)),"")</f>
        <v>15</v>
      </c>
      <c r="H50" s="53">
        <f>IFERROR(IF(VLOOKUP($C50,UNITS!$A$2:$I$9,4,FALSE)=0,"",$E50/VLOOKUP($C50,Table1[],4,FALSE)),"")</f>
        <v>15000</v>
      </c>
      <c r="I50" s="53" t="str">
        <f>IFERROR(IF(VLOOKUP($C50,UNITS!$A$2:$I$9,5,FALSE)=0,"",$E50/VLOOKUP($C50,Table1[],5,FALSE)),"")</f>
        <v/>
      </c>
      <c r="J50" s="53" t="str">
        <f>IFERROR(IF(VLOOKUP($C50,UNITS!$A$2:$I$9,6,FALSE)=0,"",$E50/VLOOKUP($C50,Table1[],6,FALSE)),"")</f>
        <v/>
      </c>
      <c r="K50" s="53">
        <f>IFERROR(IF(VLOOKUP($C50,UNITS!$A$2:$I$9,7,FALSE)=0,"",$E50/VLOOKUP($C50,Table1[],7,FALSE)),"")</f>
        <v>117.1875</v>
      </c>
      <c r="L50" s="53">
        <f>IFERROR(IF(VLOOKUP($C50,UNITS!$A$2:$I$9,8,FALSE)=0,"",$E50/VLOOKUP($C50,Table1[],8,FALSE)),"")</f>
        <v>39.473684210526315</v>
      </c>
      <c r="M50" s="54" t="str">
        <f>IFERROR(IF(VLOOKUP($C50,UNITS!$A$2:$I$9,9,FALSE)=0,"",$E50/VLOOKUP($C50,Table1[],9,FALSE)),"")</f>
        <v/>
      </c>
    </row>
    <row r="51" spans="1:13" x14ac:dyDescent="0.35">
      <c r="A51" s="67" t="s">
        <v>124</v>
      </c>
      <c r="B51" s="68">
        <v>1</v>
      </c>
      <c r="C51" s="68" t="s">
        <v>4</v>
      </c>
      <c r="D51" s="69">
        <v>2200</v>
      </c>
      <c r="E51" s="68">
        <f t="shared" si="1"/>
        <v>2200</v>
      </c>
      <c r="F51" s="64">
        <f>IFERROR(IF(VLOOKUP($C51,UNITS!$A$2:$I$9,2,FALSE)=0,"",$E51/VLOOKUP($C51,Table1[],2,FALSE)),"")</f>
        <v>550</v>
      </c>
      <c r="G51" s="64" t="str">
        <f>IFERROR(IF(VLOOKUP($C51,UNITS!$A$2:$I$9,3,FALSE)=0,"",$E51/VLOOKUP($C51,Table1[],3,FALSE)),"")</f>
        <v/>
      </c>
      <c r="H51" s="64" t="str">
        <f>IFERROR(IF(VLOOKUP($C51,UNITS!$A$2:$I$9,4,FALSE)=0,"",$E51/VLOOKUP($C51,Table1[],4,FALSE)),"")</f>
        <v/>
      </c>
      <c r="I51" s="64">
        <f>IFERROR(IF(VLOOKUP($C51,UNITS!$A$2:$I$9,5,FALSE)=0,"",$E51/VLOOKUP($C51,Table1[],5,FALSE)),"")</f>
        <v>2200</v>
      </c>
      <c r="J51" s="64">
        <f>IFERROR(IF(VLOOKUP($C51,UNITS!$A$2:$I$9,6,FALSE)=0,"",$E51/VLOOKUP($C51,Table1[],6,FALSE)),"")</f>
        <v>2.2000000000000002</v>
      </c>
      <c r="K51" s="64">
        <f>IFERROR(IF(VLOOKUP($C51,UNITS!$A$2:$I$9,7,FALSE)=0,"",$E51/VLOOKUP($C51,Table1[],7,FALSE)),"")</f>
        <v>34.321372854914202</v>
      </c>
      <c r="L51" s="64">
        <f>IFERROR(IF(VLOOKUP($C51,UNITS!$A$2:$I$9,8,FALSE)=0,"",$E51/VLOOKUP($C51,Table1[],8,FALSE)),"")</f>
        <v>11.440457618304732</v>
      </c>
      <c r="M51" s="65" t="str">
        <f>IFERROR(IF(VLOOKUP($C51,UNITS!$A$2:$I$9,9,FALSE)=0,"",$E51/VLOOKUP($C51,Table1[],9,FALSE)),"")</f>
        <v/>
      </c>
    </row>
    <row r="52" spans="1:13" x14ac:dyDescent="0.35">
      <c r="A52" s="42" t="s">
        <v>147</v>
      </c>
      <c r="B52" s="24">
        <v>600</v>
      </c>
      <c r="C52" s="24" t="s">
        <v>2</v>
      </c>
      <c r="D52" s="55">
        <v>2000</v>
      </c>
      <c r="E52" s="24">
        <f t="shared" ref="E52:E56" si="2">IFERROR(MROUND(IF(B52=0,"",D52/B52),0.01),"")</f>
        <v>3.33</v>
      </c>
      <c r="F52" s="53">
        <f>IFERROR(IF(VLOOKUP($C52,UNITS!$A$2:$I$9,2,FALSE)=0,"",$E52/VLOOKUP($C52,Table1[],2,FALSE)),"")</f>
        <v>399.7599039615846</v>
      </c>
      <c r="G52" s="53">
        <f>IFERROR(IF(VLOOKUP($C52,UNITS!$A$2:$I$9,3,FALSE)=0,"",$E52/VLOOKUP($C52,Table1[],3,FALSE)),"")</f>
        <v>3.33</v>
      </c>
      <c r="H52" s="53">
        <f>IFERROR(IF(VLOOKUP($C52,UNITS!$A$2:$I$9,4,FALSE)=0,"",$E52/VLOOKUP($C52,Table1[],4,FALSE)),"")</f>
        <v>3330</v>
      </c>
      <c r="I52" s="53" t="str">
        <f>IFERROR(IF(VLOOKUP($C52,UNITS!$A$2:$I$9,5,FALSE)=0,"",$E52/VLOOKUP($C52,Table1[],5,FALSE)),"")</f>
        <v/>
      </c>
      <c r="J52" s="53" t="str">
        <f>IFERROR(IF(VLOOKUP($C52,UNITS!$A$2:$I$9,6,FALSE)=0,"",$E52/VLOOKUP($C52,Table1[],6,FALSE)),"")</f>
        <v/>
      </c>
      <c r="K52" s="53">
        <f>IFERROR(IF(VLOOKUP($C52,UNITS!$A$2:$I$9,7,FALSE)=0,"",$E52/VLOOKUP($C52,Table1[],7,FALSE)),"")</f>
        <v>26.015625</v>
      </c>
      <c r="L52" s="53">
        <f>IFERROR(IF(VLOOKUP($C52,UNITS!$A$2:$I$9,8,FALSE)=0,"",$E52/VLOOKUP($C52,Table1[],8,FALSE)),"")</f>
        <v>8.7631578947368425</v>
      </c>
      <c r="M52" s="54" t="str">
        <f>IFERROR(IF(VLOOKUP($C52,UNITS!$A$2:$I$9,9,FALSE)=0,"",$E52/VLOOKUP($C52,Table1[],9,FALSE)),"")</f>
        <v/>
      </c>
    </row>
    <row r="53" spans="1:13" x14ac:dyDescent="0.35">
      <c r="A53" s="42" t="s">
        <v>148</v>
      </c>
      <c r="B53" s="24">
        <v>1</v>
      </c>
      <c r="C53" s="24" t="s">
        <v>8</v>
      </c>
      <c r="D53" s="55">
        <v>200</v>
      </c>
      <c r="E53" s="24">
        <f t="shared" si="2"/>
        <v>200</v>
      </c>
      <c r="F53" s="53" t="str">
        <f>IFERROR(IF(VLOOKUP($C53,UNITS!$A$2:$I$9,2,FALSE)=0,"",$E53/VLOOKUP($C53,Table1[],2,FALSE)),"")</f>
        <v/>
      </c>
      <c r="G53" s="53" t="str">
        <f>IFERROR(IF(VLOOKUP($C53,UNITS!$A$2:$I$9,3,FALSE)=0,"",$E53/VLOOKUP($C53,Table1[],3,FALSE)),"")</f>
        <v/>
      </c>
      <c r="H53" s="53" t="str">
        <f>IFERROR(IF(VLOOKUP($C53,UNITS!$A$2:$I$9,4,FALSE)=0,"",$E53/VLOOKUP($C53,Table1[],4,FALSE)),"")</f>
        <v/>
      </c>
      <c r="I53" s="53" t="str">
        <f>IFERROR(IF(VLOOKUP($C53,UNITS!$A$2:$I$9,5,FALSE)=0,"",$E53/VLOOKUP($C53,Table1[],5,FALSE)),"")</f>
        <v/>
      </c>
      <c r="J53" s="53" t="str">
        <f>IFERROR(IF(VLOOKUP($C53,UNITS!$A$2:$I$9,6,FALSE)=0,"",$E53/VLOOKUP($C53,Table1[],6,FALSE)),"")</f>
        <v/>
      </c>
      <c r="K53" s="53" t="str">
        <f>IFERROR(IF(VLOOKUP($C53,UNITS!$A$2:$I$9,7,FALSE)=0,"",$E53/VLOOKUP($C53,Table1[],7,FALSE)),"")</f>
        <v/>
      </c>
      <c r="L53" s="53" t="str">
        <f>IFERROR(IF(VLOOKUP($C53,UNITS!$A$2:$I$9,8,FALSE)=0,"",$E53/VLOOKUP($C53,Table1[],8,FALSE)),"")</f>
        <v/>
      </c>
      <c r="M53" s="54">
        <f>IFERROR(IF(VLOOKUP($C53,UNITS!$A$2:$I$9,9,FALSE)=0,"",$E53/VLOOKUP($C53,Table1[],9,FALSE)),"")</f>
        <v>200</v>
      </c>
    </row>
    <row r="54" spans="1:13" x14ac:dyDescent="0.35">
      <c r="A54" s="42" t="s">
        <v>149</v>
      </c>
      <c r="B54" s="24">
        <v>1</v>
      </c>
      <c r="C54" s="24" t="s">
        <v>8</v>
      </c>
      <c r="D54" s="55">
        <v>1000</v>
      </c>
      <c r="E54" s="24">
        <f t="shared" si="2"/>
        <v>1000</v>
      </c>
      <c r="F54" s="53" t="str">
        <f>IFERROR(IF(VLOOKUP($C54,UNITS!$A$2:$I$9,2,FALSE)=0,"",$E54/VLOOKUP($C54,Table1[],2,FALSE)),"")</f>
        <v/>
      </c>
      <c r="G54" s="53" t="str">
        <f>IFERROR(IF(VLOOKUP($C54,UNITS!$A$2:$I$9,3,FALSE)=0,"",$E54/VLOOKUP($C54,Table1[],3,FALSE)),"")</f>
        <v/>
      </c>
      <c r="H54" s="53" t="str">
        <f>IFERROR(IF(VLOOKUP($C54,UNITS!$A$2:$I$9,4,FALSE)=0,"",$E54/VLOOKUP($C54,Table1[],4,FALSE)),"")</f>
        <v/>
      </c>
      <c r="I54" s="53" t="str">
        <f>IFERROR(IF(VLOOKUP($C54,UNITS!$A$2:$I$9,5,FALSE)=0,"",$E54/VLOOKUP($C54,Table1[],5,FALSE)),"")</f>
        <v/>
      </c>
      <c r="J54" s="53" t="str">
        <f>IFERROR(IF(VLOOKUP($C54,UNITS!$A$2:$I$9,6,FALSE)=0,"",$E54/VLOOKUP($C54,Table1[],6,FALSE)),"")</f>
        <v/>
      </c>
      <c r="K54" s="53" t="str">
        <f>IFERROR(IF(VLOOKUP($C54,UNITS!$A$2:$I$9,7,FALSE)=0,"",$E54/VLOOKUP($C54,Table1[],7,FALSE)),"")</f>
        <v/>
      </c>
      <c r="L54" s="53" t="str">
        <f>IFERROR(IF(VLOOKUP($C54,UNITS!$A$2:$I$9,8,FALSE)=0,"",$E54/VLOOKUP($C54,Table1[],8,FALSE)),"")</f>
        <v/>
      </c>
      <c r="M54" s="54">
        <f>IFERROR(IF(VLOOKUP($C54,UNITS!$A$2:$I$9,9,FALSE)=0,"",$E54/VLOOKUP($C54,Table1[],9,FALSE)),"")</f>
        <v>1000</v>
      </c>
    </row>
    <row r="55" spans="1:13" x14ac:dyDescent="0.35">
      <c r="A55" s="42" t="s">
        <v>150</v>
      </c>
      <c r="B55" s="24">
        <v>1</v>
      </c>
      <c r="C55" s="24" t="s">
        <v>8</v>
      </c>
      <c r="D55" s="55">
        <v>100</v>
      </c>
      <c r="E55" s="24">
        <f t="shared" si="2"/>
        <v>100</v>
      </c>
      <c r="F55" s="53" t="str">
        <f>IFERROR(IF(VLOOKUP($C55,UNITS!$A$2:$I$9,2,FALSE)=0,"",$E55/VLOOKUP($C55,Table1[],2,FALSE)),"")</f>
        <v/>
      </c>
      <c r="G55" s="53" t="str">
        <f>IFERROR(IF(VLOOKUP($C55,UNITS!$A$2:$I$9,3,FALSE)=0,"",$E55/VLOOKUP($C55,Table1[],3,FALSE)),"")</f>
        <v/>
      </c>
      <c r="H55" s="53" t="str">
        <f>IFERROR(IF(VLOOKUP($C55,UNITS!$A$2:$I$9,4,FALSE)=0,"",$E55/VLOOKUP($C55,Table1[],4,FALSE)),"")</f>
        <v/>
      </c>
      <c r="I55" s="53" t="str">
        <f>IFERROR(IF(VLOOKUP($C55,UNITS!$A$2:$I$9,5,FALSE)=0,"",$E55/VLOOKUP($C55,Table1[],5,FALSE)),"")</f>
        <v/>
      </c>
      <c r="J55" s="53" t="str">
        <f>IFERROR(IF(VLOOKUP($C55,UNITS!$A$2:$I$9,6,FALSE)=0,"",$E55/VLOOKUP($C55,Table1[],6,FALSE)),"")</f>
        <v/>
      </c>
      <c r="K55" s="53" t="str">
        <f>IFERROR(IF(VLOOKUP($C55,UNITS!$A$2:$I$9,7,FALSE)=0,"",$E55/VLOOKUP($C55,Table1[],7,FALSE)),"")</f>
        <v/>
      </c>
      <c r="L55" s="53" t="str">
        <f>IFERROR(IF(VLOOKUP($C55,UNITS!$A$2:$I$9,8,FALSE)=0,"",$E55/VLOOKUP($C55,Table1[],8,FALSE)),"")</f>
        <v/>
      </c>
      <c r="M55" s="54">
        <f>IFERROR(IF(VLOOKUP($C55,UNITS!$A$2:$I$9,9,FALSE)=0,"",$E55/VLOOKUP($C55,Table1[],9,FALSE)),"")</f>
        <v>100</v>
      </c>
    </row>
    <row r="56" spans="1:13" x14ac:dyDescent="0.35">
      <c r="A56" s="70" t="s">
        <v>151</v>
      </c>
      <c r="B56" s="71">
        <v>1</v>
      </c>
      <c r="C56" s="71" t="s">
        <v>8</v>
      </c>
      <c r="D56" s="72">
        <v>1200</v>
      </c>
      <c r="E56" s="71">
        <f t="shared" si="2"/>
        <v>1200</v>
      </c>
      <c r="F56" s="64" t="str">
        <f>IFERROR(IF(VLOOKUP($C56,UNITS!$A$2:$I$9,2,FALSE)=0,"",$E56/VLOOKUP($C56,Table1[],2,FALSE)),"")</f>
        <v/>
      </c>
      <c r="G56" s="64" t="str">
        <f>IFERROR(IF(VLOOKUP($C56,UNITS!$A$2:$I$9,3,FALSE)=0,"",$E56/VLOOKUP($C56,Table1[],3,FALSE)),"")</f>
        <v/>
      </c>
      <c r="H56" s="64" t="str">
        <f>IFERROR(IF(VLOOKUP($C56,UNITS!$A$2:$I$9,4,FALSE)=0,"",$E56/VLOOKUP($C56,Table1[],4,FALSE)),"")</f>
        <v/>
      </c>
      <c r="I56" s="64" t="str">
        <f>IFERROR(IF(VLOOKUP($C56,UNITS!$A$2:$I$9,5,FALSE)=0,"",$E56/VLOOKUP($C56,Table1[],5,FALSE)),"")</f>
        <v/>
      </c>
      <c r="J56" s="64" t="str">
        <f>IFERROR(IF(VLOOKUP($C56,UNITS!$A$2:$I$9,6,FALSE)=0,"",$E56/VLOOKUP($C56,Table1[],6,FALSE)),"")</f>
        <v/>
      </c>
      <c r="K56" s="64" t="str">
        <f>IFERROR(IF(VLOOKUP($C56,UNITS!$A$2:$I$9,7,FALSE)=0,"",$E56/VLOOKUP($C56,Table1[],7,FALSE)),"")</f>
        <v/>
      </c>
      <c r="L56" s="64" t="str">
        <f>IFERROR(IF(VLOOKUP($C56,UNITS!$A$2:$I$9,8,FALSE)=0,"",$E56/VLOOKUP($C56,Table1[],8,FALSE)),"")</f>
        <v/>
      </c>
      <c r="M56" s="65">
        <f>IFERROR(IF(VLOOKUP($C56,UNITS!$A$2:$I$9,9,FALSE)=0,"",$E56/VLOOKUP($C56,Table1[],9,FALSE)),"")</f>
        <v>1200</v>
      </c>
    </row>
    <row r="57" spans="1:13" x14ac:dyDescent="0.35">
      <c r="A57" s="42" t="s">
        <v>154</v>
      </c>
      <c r="B57" s="24">
        <v>100</v>
      </c>
      <c r="C57" s="24" t="s">
        <v>8</v>
      </c>
      <c r="D57" s="55">
        <v>8500</v>
      </c>
      <c r="E57" s="24">
        <f t="shared" ref="E57:E60" si="3">IFERROR(MROUND(IF(B57=0,"",D57/B57),0.01),"")</f>
        <v>85</v>
      </c>
      <c r="F57" s="53" t="str">
        <f>IFERROR(IF(VLOOKUP($C57,UNITS!$A$2:$I$9,2,FALSE)=0,"",$E57/VLOOKUP($C57,Table1[],2,FALSE)),"")</f>
        <v/>
      </c>
      <c r="G57" s="53" t="str">
        <f>IFERROR(IF(VLOOKUP($C57,UNITS!$A$2:$I$9,3,FALSE)=0,"",$E57/VLOOKUP($C57,Table1[],3,FALSE)),"")</f>
        <v/>
      </c>
      <c r="H57" s="53" t="str">
        <f>IFERROR(IF(VLOOKUP($C57,UNITS!$A$2:$I$9,4,FALSE)=0,"",$E57/VLOOKUP($C57,Table1[],4,FALSE)),"")</f>
        <v/>
      </c>
      <c r="I57" s="53" t="str">
        <f>IFERROR(IF(VLOOKUP($C57,UNITS!$A$2:$I$9,5,FALSE)=0,"",$E57/VLOOKUP($C57,Table1[],5,FALSE)),"")</f>
        <v/>
      </c>
      <c r="J57" s="53" t="str">
        <f>IFERROR(IF(VLOOKUP($C57,UNITS!$A$2:$I$9,6,FALSE)=0,"",$E57/VLOOKUP($C57,Table1[],6,FALSE)),"")</f>
        <v/>
      </c>
      <c r="K57" s="53" t="str">
        <f>IFERROR(IF(VLOOKUP($C57,UNITS!$A$2:$I$9,7,FALSE)=0,"",$E57/VLOOKUP($C57,Table1[],7,FALSE)),"")</f>
        <v/>
      </c>
      <c r="L57" s="53" t="str">
        <f>IFERROR(IF(VLOOKUP($C57,UNITS!$A$2:$I$9,8,FALSE)=0,"",$E57/VLOOKUP($C57,Table1[],8,FALSE)),"")</f>
        <v/>
      </c>
      <c r="M57" s="54">
        <f>IFERROR(IF(VLOOKUP($C57,UNITS!$A$2:$I$9,9,FALSE)=0,"",$E57/VLOOKUP($C57,Table1[],9,FALSE)),"")</f>
        <v>85</v>
      </c>
    </row>
    <row r="58" spans="1:13" x14ac:dyDescent="0.35">
      <c r="A58" s="42" t="s">
        <v>157</v>
      </c>
      <c r="B58" s="24">
        <v>2</v>
      </c>
      <c r="C58" s="24" t="s">
        <v>3</v>
      </c>
      <c r="D58" s="55">
        <v>1600</v>
      </c>
      <c r="E58" s="24">
        <f t="shared" si="3"/>
        <v>800</v>
      </c>
      <c r="F58" s="53">
        <f>IFERROR(IF(VLOOKUP($C58,UNITS!$A$2:$I$9,2,FALSE)=0,"",$E58/VLOOKUP($C58,Table1[],2,FALSE)),"")</f>
        <v>100</v>
      </c>
      <c r="G58" s="53">
        <f>IFERROR(IF(VLOOKUP($C58,UNITS!$A$2:$I$9,3,FALSE)=0,"",$E58/VLOOKUP($C58,Table1[],3,FALSE)),"")</f>
        <v>0.8</v>
      </c>
      <c r="H58" s="53">
        <f>IFERROR(IF(VLOOKUP($C58,UNITS!$A$2:$I$9,4,FALSE)=0,"",$E58/VLOOKUP($C58,Table1[],4,FALSE)),"")</f>
        <v>800</v>
      </c>
      <c r="I58" s="53" t="str">
        <f>IFERROR(IF(VLOOKUP($C58,UNITS!$A$2:$I$9,5,FALSE)=0,"",$E58/VLOOKUP($C58,Table1[],5,FALSE)),"")</f>
        <v/>
      </c>
      <c r="J58" s="53" t="str">
        <f>IFERROR(IF(VLOOKUP($C58,UNITS!$A$2:$I$9,6,FALSE)=0,"",$E58/VLOOKUP($C58,Table1[],6,FALSE)),"")</f>
        <v/>
      </c>
      <c r="K58" s="53">
        <f>IFERROR(IF(VLOOKUP($C58,UNITS!$A$2:$I$9,7,FALSE)=0,"",$E58/VLOOKUP($C58,Table1[],7,FALSE)),"")</f>
        <v>6.25</v>
      </c>
      <c r="L58" s="53">
        <f>IFERROR(IF(VLOOKUP($C58,UNITS!$A$2:$I$9,8,FALSE)=0,"",$E58/VLOOKUP($C58,Table1[],8,FALSE)),"")</f>
        <v>2.1052631578947367</v>
      </c>
      <c r="M58" s="54" t="str">
        <f>IFERROR(IF(VLOOKUP($C58,UNITS!$A$2:$I$9,9,FALSE)=0,"",$E58/VLOOKUP($C58,Table1[],9,FALSE)),"")</f>
        <v/>
      </c>
    </row>
    <row r="59" spans="1:13" x14ac:dyDescent="0.35">
      <c r="A59" s="42"/>
      <c r="B59" s="24"/>
      <c r="C59" s="24"/>
      <c r="D59" s="55"/>
      <c r="E59" s="24" t="str">
        <f t="shared" si="3"/>
        <v/>
      </c>
      <c r="F59" s="53" t="str">
        <f>IFERROR(IF(VLOOKUP($C59,UNITS!$A$2:$I$9,2,FALSE)=0,"",$E59/VLOOKUP($C59,Table1[],2,FALSE)),"")</f>
        <v/>
      </c>
      <c r="G59" s="53" t="str">
        <f>IFERROR(IF(VLOOKUP($C59,UNITS!$A$2:$I$9,3,FALSE)=0,"",$E59/VLOOKUP($C59,Table1[],3,FALSE)),"")</f>
        <v/>
      </c>
      <c r="H59" s="53" t="str">
        <f>IFERROR(IF(VLOOKUP($C59,UNITS!$A$2:$I$9,4,FALSE)=0,"",$E59/VLOOKUP($C59,Table1[],4,FALSE)),"")</f>
        <v/>
      </c>
      <c r="I59" s="53" t="str">
        <f>IFERROR(IF(VLOOKUP($C59,UNITS!$A$2:$I$9,5,FALSE)=0,"",$E59/VLOOKUP($C59,Table1[],5,FALSE)),"")</f>
        <v/>
      </c>
      <c r="J59" s="53" t="str">
        <f>IFERROR(IF(VLOOKUP($C59,UNITS!$A$2:$I$9,6,FALSE)=0,"",$E59/VLOOKUP($C59,Table1[],6,FALSE)),"")</f>
        <v/>
      </c>
      <c r="K59" s="53" t="str">
        <f>IFERROR(IF(VLOOKUP($C59,UNITS!$A$2:$I$9,7,FALSE)=0,"",$E59/VLOOKUP($C59,Table1[],7,FALSE)),"")</f>
        <v/>
      </c>
      <c r="L59" s="53" t="str">
        <f>IFERROR(IF(VLOOKUP($C59,UNITS!$A$2:$I$9,8,FALSE)=0,"",$E59/VLOOKUP($C59,Table1[],8,FALSE)),"")</f>
        <v/>
      </c>
      <c r="M59" s="54" t="str">
        <f>IFERROR(IF(VLOOKUP($C59,UNITS!$A$2:$I$9,9,FALSE)=0,"",$E59/VLOOKUP($C59,Table1[],9,FALSE)),"")</f>
        <v/>
      </c>
    </row>
    <row r="60" spans="1:13" x14ac:dyDescent="0.35">
      <c r="A60" s="70"/>
      <c r="B60" s="71"/>
      <c r="C60" s="71"/>
      <c r="D60" s="72"/>
      <c r="E60" s="71" t="str">
        <f t="shared" si="3"/>
        <v/>
      </c>
      <c r="F60" s="64" t="str">
        <f>IFERROR(IF(VLOOKUP($C60,UNITS!$A$2:$I$9,2,FALSE)=0,"",$E60/VLOOKUP($C60,Table1[],2,FALSE)),"")</f>
        <v/>
      </c>
      <c r="G60" s="64" t="str">
        <f>IFERROR(IF(VLOOKUP($C60,UNITS!$A$2:$I$9,3,FALSE)=0,"",$E60/VLOOKUP($C60,Table1[],3,FALSE)),"")</f>
        <v/>
      </c>
      <c r="H60" s="64" t="str">
        <f>IFERROR(IF(VLOOKUP($C60,UNITS!$A$2:$I$9,4,FALSE)=0,"",$E60/VLOOKUP($C60,Table1[],4,FALSE)),"")</f>
        <v/>
      </c>
      <c r="I60" s="64" t="str">
        <f>IFERROR(IF(VLOOKUP($C60,UNITS!$A$2:$I$9,5,FALSE)=0,"",$E60/VLOOKUP($C60,Table1[],5,FALSE)),"")</f>
        <v/>
      </c>
      <c r="J60" s="64" t="str">
        <f>IFERROR(IF(VLOOKUP($C60,UNITS!$A$2:$I$9,6,FALSE)=0,"",$E60/VLOOKUP($C60,Table1[],6,FALSE)),"")</f>
        <v/>
      </c>
      <c r="K60" s="64" t="str">
        <f>IFERROR(IF(VLOOKUP($C60,UNITS!$A$2:$I$9,7,FALSE)=0,"",$E60/VLOOKUP($C60,Table1[],7,FALSE)),"")</f>
        <v/>
      </c>
      <c r="L60" s="64" t="str">
        <f>IFERROR(IF(VLOOKUP($C60,UNITS!$A$2:$I$9,8,FALSE)=0,"",$E60/VLOOKUP($C60,Table1[],8,FALSE)),"")</f>
        <v/>
      </c>
      <c r="M60" s="65" t="str">
        <f>IFERROR(IF(VLOOKUP($C60,UNITS!$A$2:$I$9,9,FALSE)=0,"",$E60/VLOOKUP($C60,Table1[],9,FALSE)),"")</f>
        <v/>
      </c>
    </row>
  </sheetData>
  <mergeCells count="1">
    <mergeCell ref="F1:M1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CE787F-82F1-44F7-9F6F-92E92E22ADF1}">
          <x14:formula1>
            <xm:f>UNITS!$A$2:$A$9</xm:f>
          </x14:formula1>
          <xm:sqref>C3:C170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01E72-3DB0-4DA9-A2EA-66CF8D60FBF4}">
  <sheetPr codeName="Sheet2"/>
  <dimension ref="A1:F28"/>
  <sheetViews>
    <sheetView topLeftCell="A13" workbookViewId="0">
      <selection activeCell="A25" sqref="A25"/>
    </sheetView>
  </sheetViews>
  <sheetFormatPr defaultRowHeight="14.5" x14ac:dyDescent="0.35"/>
  <cols>
    <col min="1" max="1" width="20" bestFit="1" customWidth="1"/>
    <col min="2" max="2" width="12.7265625" style="75" bestFit="1" customWidth="1"/>
    <col min="3" max="3" width="20.81640625" bestFit="1" customWidth="1"/>
    <col min="4" max="4" width="27.90625" style="75" bestFit="1" customWidth="1"/>
    <col min="5" max="5" width="14.453125" bestFit="1" customWidth="1"/>
    <col min="6" max="6" width="16.7265625" style="66" bestFit="1" customWidth="1"/>
  </cols>
  <sheetData>
    <row r="1" spans="1:6" x14ac:dyDescent="0.35">
      <c r="A1" t="s">
        <v>152</v>
      </c>
    </row>
    <row r="2" spans="1:6" x14ac:dyDescent="0.35">
      <c r="A2" t="s">
        <v>53</v>
      </c>
      <c r="B2" s="75" t="s">
        <v>130</v>
      </c>
      <c r="C2" t="s">
        <v>131</v>
      </c>
      <c r="D2" s="76" t="s">
        <v>93</v>
      </c>
      <c r="E2" s="4" t="s">
        <v>132</v>
      </c>
      <c r="F2" s="66" t="s">
        <v>133</v>
      </c>
    </row>
    <row r="3" spans="1:6" x14ac:dyDescent="0.35">
      <c r="A3" s="73" t="s">
        <v>147</v>
      </c>
      <c r="B3" s="77">
        <f ca="1">IFERROR(PRODUCT(Table47834911121314161922232421[[#This Row],[NUMBER OF SERVINS]],Table47834911121314161922232421[[#This Row],[COST PER SERVING]]),"")</f>
        <v>1980</v>
      </c>
      <c r="C3">
        <f ca="1">IFERROR(INDIRECT("'"&amp;Table47834911121314161922232421[[#This Row],[RECIPE NAME]]&amp;"'!c6"),"")</f>
        <v>12</v>
      </c>
      <c r="D3" s="75">
        <f ca="1">IFERROR(INDIRECT("'"&amp;Table47834911121314161922232421[[#This Row],[RECIPE NAME]]&amp;"'!c7"),"")</f>
        <v>165</v>
      </c>
      <c r="E3" s="75">
        <f ca="1">IFERROR(INDIRECT("'"&amp;Table47834911121314161922232421[[#This Row],[RECIPE NAME]]&amp;"'!c8"),"")</f>
        <v>413</v>
      </c>
      <c r="F3" s="66">
        <f ca="1">IFERROR(INDIRECT("'"&amp;Table47834911121314161922232421[[#This Row],[RECIPE NAME]]&amp;"'!c9"),"")</f>
        <v>0.6004842615012107</v>
      </c>
    </row>
    <row r="4" spans="1:6" x14ac:dyDescent="0.35">
      <c r="A4" s="73" t="s">
        <v>125</v>
      </c>
      <c r="B4" s="77">
        <f ca="1">IFERROR(PRODUCT(Table47834911121314161922232421[[#This Row],[NUMBER OF SERVINS]],Table47834911121314161922232421[[#This Row],[COST PER SERVING]]),"")</f>
        <v>6113.97</v>
      </c>
      <c r="C4">
        <f ca="1">IFERROR(INDIRECT("'"&amp;Table47834911121314161922232421[[#This Row],[RECIPE NAME]]&amp;"'!c6"),"")</f>
        <v>9</v>
      </c>
      <c r="D4" s="75">
        <f ca="1">IFERROR(INDIRECT("'"&amp;Table47834911121314161922232421[[#This Row],[RECIPE NAME]]&amp;"'!c7"),"")</f>
        <v>679.33</v>
      </c>
      <c r="E4" s="4">
        <f ca="1">IFERROR(INDIRECT("'"&amp;Table47834911121314161922232421[[#This Row],[RECIPE NAME]]&amp;"'!c8"),"")</f>
        <v>1698</v>
      </c>
      <c r="F4" s="66">
        <f ca="1">IFERROR(INDIRECT("'"&amp;Table47834911121314161922232421[[#This Row],[RECIPE NAME]]&amp;"'!c9"),"")</f>
        <v>0.59992343934040049</v>
      </c>
    </row>
    <row r="5" spans="1:6" x14ac:dyDescent="0.35">
      <c r="A5" s="73" t="s">
        <v>115</v>
      </c>
      <c r="B5" s="77">
        <f ca="1">IFERROR(PRODUCT(Table47834911121314161922232421[[#This Row],[NUMBER OF SERVINS]],Table47834911121314161922232421[[#This Row],[COST PER SERVING]]),"")</f>
        <v>2442.02</v>
      </c>
      <c r="C5">
        <f ca="1">IFERROR(INDIRECT("'"&amp;Table47834911121314161922232421[[#This Row],[RECIPE NAME]]&amp;"'!c6"),"")</f>
        <v>7</v>
      </c>
      <c r="D5" s="75">
        <f ca="1">IFERROR(INDIRECT("'"&amp;Table47834911121314161922232421[[#This Row],[RECIPE NAME]]&amp;"'!c7"),"")</f>
        <v>348.86</v>
      </c>
      <c r="E5" s="4">
        <f ca="1">IFERROR(INDIRECT("'"&amp;Table47834911121314161922232421[[#This Row],[RECIPE NAME]]&amp;"'!c8"),"")</f>
        <v>872</v>
      </c>
      <c r="F5" s="66">
        <f ca="1">IFERROR(INDIRECT("'"&amp;Table47834911121314161922232421[[#This Row],[RECIPE NAME]]&amp;"'!c9"),"")</f>
        <v>0.59993119266055039</v>
      </c>
    </row>
    <row r="6" spans="1:6" x14ac:dyDescent="0.35">
      <c r="A6" s="73" t="s">
        <v>109</v>
      </c>
      <c r="B6" s="77">
        <f ca="1">IFERROR(PRODUCT(Table47834911121314161922232421[[#This Row],[NUMBER OF SERVINS]],Table47834911121314161922232421[[#This Row],[COST PER SERVING]]),"")</f>
        <v>2611.98</v>
      </c>
      <c r="C6">
        <f ca="1">IFERROR(INDIRECT("'"&amp;Table47834911121314161922232421[[#This Row],[RECIPE NAME]]&amp;"'!c6"),"")</f>
        <v>7</v>
      </c>
      <c r="D6" s="75">
        <f ca="1">IFERROR(INDIRECT("'"&amp;Table47834911121314161922232421[[#This Row],[RECIPE NAME]]&amp;"'!c7"),"")</f>
        <v>373.14</v>
      </c>
      <c r="E6" s="4">
        <f ca="1">IFERROR(INDIRECT("'"&amp;Table47834911121314161922232421[[#This Row],[RECIPE NAME]]&amp;"'!c8"),"")</f>
        <v>933</v>
      </c>
      <c r="F6" s="66">
        <f ca="1">IFERROR(INDIRECT("'"&amp;Table47834911121314161922232421[[#This Row],[RECIPE NAME]]&amp;"'!c9"),"")</f>
        <v>0.60006430868167204</v>
      </c>
    </row>
    <row r="7" spans="1:6" x14ac:dyDescent="0.35">
      <c r="A7" s="73" t="s">
        <v>98</v>
      </c>
      <c r="B7" s="77">
        <f ca="1">IFERROR(PRODUCT(Table47834911121314161922232421[[#This Row],[NUMBER OF SERVINS]],Table47834911121314161922232421[[#This Row],[COST PER SERVING]]),"")</f>
        <v>2533.98</v>
      </c>
      <c r="C7">
        <f ca="1">IFERROR(INDIRECT("'"&amp;Table47834911121314161922232421[[#This Row],[RECIPE NAME]]&amp;"'!c6"),"")</f>
        <v>6</v>
      </c>
      <c r="D7" s="75">
        <f ca="1">IFERROR(INDIRECT("'"&amp;Table47834911121314161922232421[[#This Row],[RECIPE NAME]]&amp;"'!c7"),"")</f>
        <v>422.33</v>
      </c>
      <c r="E7" s="4">
        <f ca="1">IFERROR(INDIRECT("'"&amp;Table47834911121314161922232421[[#This Row],[RECIPE NAME]]&amp;"'!c8"),"")</f>
        <v>1056</v>
      </c>
      <c r="F7" s="66">
        <f ca="1">IFERROR(INDIRECT("'"&amp;Table47834911121314161922232421[[#This Row],[RECIPE NAME]]&amp;"'!c9"),"")</f>
        <v>0.60006628787878791</v>
      </c>
    </row>
    <row r="8" spans="1:6" x14ac:dyDescent="0.35">
      <c r="A8" s="73" t="s">
        <v>54</v>
      </c>
      <c r="B8" s="77">
        <f ca="1">IFERROR(PRODUCT(Table47834911121314161922232421[[#This Row],[NUMBER OF SERVINS]],Table47834911121314161922232421[[#This Row],[COST PER SERVING]]),"")</f>
        <v>1781.0400000000002</v>
      </c>
      <c r="C8">
        <f ca="1">IFERROR(INDIRECT("'"&amp;Table47834911121314161922232421[[#This Row],[RECIPE NAME]]&amp;"'!c6"),"")</f>
        <v>12</v>
      </c>
      <c r="D8" s="75">
        <f ca="1">IFERROR(INDIRECT("'"&amp;Table47834911121314161922232421[[#This Row],[RECIPE NAME]]&amp;"'!c7"),"")</f>
        <v>148.42000000000002</v>
      </c>
      <c r="E8" s="4">
        <f ca="1">IFERROR(INDIRECT("'"&amp;Table47834911121314161922232421[[#This Row],[RECIPE NAME]]&amp;"'!c8"),"")</f>
        <v>223</v>
      </c>
      <c r="F8" s="66">
        <f ca="1">IFERROR(INDIRECT("'"&amp;Table47834911121314161922232421[[#This Row],[RECIPE NAME]]&amp;"'!c9"),"")</f>
        <v>0.33443946188340801</v>
      </c>
    </row>
    <row r="9" spans="1:6" x14ac:dyDescent="0.35">
      <c r="A9" s="73" t="s">
        <v>63</v>
      </c>
      <c r="B9" s="77">
        <f ca="1">IFERROR(PRODUCT(Table47834911121314161922232421[[#This Row],[NUMBER OF SERVINS]],Table47834911121314161922232421[[#This Row],[COST PER SERVING]]),"")</f>
        <v>2660.04</v>
      </c>
      <c r="C9">
        <f ca="1">IFERROR(INDIRECT("'"&amp;Table47834911121314161922232421[[#This Row],[RECIPE NAME]]&amp;"'!c6"),"")</f>
        <v>12</v>
      </c>
      <c r="D9" s="75">
        <f ca="1">IFERROR(INDIRECT("'"&amp;Table47834911121314161922232421[[#This Row],[RECIPE NAME]]&amp;"'!c7"),"")</f>
        <v>221.67000000000002</v>
      </c>
      <c r="E9" s="4">
        <f ca="1">IFERROR(INDIRECT("'"&amp;Table47834911121314161922232421[[#This Row],[RECIPE NAME]]&amp;"'!c8"),"")</f>
        <v>443</v>
      </c>
      <c r="F9" s="66">
        <f ca="1">IFERROR(INDIRECT("'"&amp;Table47834911121314161922232421[[#This Row],[RECIPE NAME]]&amp;"'!c9"),"")</f>
        <v>0.49961625282167038</v>
      </c>
    </row>
    <row r="10" spans="1:6" x14ac:dyDescent="0.35">
      <c r="A10" s="73" t="s">
        <v>134</v>
      </c>
      <c r="B10" s="77">
        <f ca="1">IFERROR(PRODUCT(Table47834911121314161922232421[[#This Row],[NUMBER OF SERVINS]],Table47834911121314161922232421[[#This Row],[COST PER SERVING]]),"")</f>
        <v>6552</v>
      </c>
      <c r="C10">
        <f ca="1">IFERROR(INDIRECT("'"&amp;Table47834911121314161922232421[[#This Row],[RECIPE NAME]]&amp;"'!c6"),"")</f>
        <v>12</v>
      </c>
      <c r="D10" s="75">
        <f ca="1">IFERROR(INDIRECT("'"&amp;Table47834911121314161922232421[[#This Row],[RECIPE NAME]]&amp;"'!c7"),"")</f>
        <v>546</v>
      </c>
      <c r="E10" s="4">
        <f ca="1">IFERROR(INDIRECT("'"&amp;Table47834911121314161922232421[[#This Row],[RECIPE NAME]]&amp;"'!c8"),"")</f>
        <v>1092</v>
      </c>
      <c r="F10" s="66">
        <f ca="1">IFERROR(INDIRECT("'"&amp;Table47834911121314161922232421[[#This Row],[RECIPE NAME]]&amp;"'!c9"),"")</f>
        <v>0.5</v>
      </c>
    </row>
    <row r="11" spans="1:6" x14ac:dyDescent="0.35">
      <c r="A11" s="73" t="s">
        <v>67</v>
      </c>
      <c r="B11" s="77">
        <f ca="1">IFERROR(PRODUCT(Table47834911121314161922232421[[#This Row],[NUMBER OF SERVINS]],Table47834911121314161922232421[[#This Row],[COST PER SERVING]]),"")</f>
        <v>6675.9600000000009</v>
      </c>
      <c r="C11">
        <f ca="1">IFERROR(INDIRECT("'"&amp;Table47834911121314161922232421[[#This Row],[RECIPE NAME]]&amp;"'!c6"),"")</f>
        <v>12</v>
      </c>
      <c r="D11" s="75">
        <f ca="1">IFERROR(INDIRECT("'"&amp;Table47834911121314161922232421[[#This Row],[RECIPE NAME]]&amp;"'!c7"),"")</f>
        <v>556.33000000000004</v>
      </c>
      <c r="E11" s="4">
        <f ca="1">IFERROR(INDIRECT("'"&amp;Table47834911121314161922232421[[#This Row],[RECIPE NAME]]&amp;"'!c8"),"")</f>
        <v>1391</v>
      </c>
      <c r="F11" s="66">
        <f ca="1">IFERROR(INDIRECT("'"&amp;Table47834911121314161922232421[[#This Row],[RECIPE NAME]]&amp;"'!c9"),"")</f>
        <v>0.60005032350826737</v>
      </c>
    </row>
    <row r="12" spans="1:6" x14ac:dyDescent="0.35">
      <c r="A12" s="73" t="s">
        <v>135</v>
      </c>
      <c r="B12" s="77">
        <f ca="1">IFERROR(PRODUCT(Table47834911121314161922232421[[#This Row],[NUMBER OF SERVINS]],Table47834911121314161922232421[[#This Row],[COST PER SERVING]]),"")</f>
        <v>4668.03</v>
      </c>
      <c r="C12">
        <f ca="1">IFERROR(INDIRECT("'"&amp;Table47834911121314161922232421[[#This Row],[RECIPE NAME]]&amp;"'!c6"),"")</f>
        <v>9</v>
      </c>
      <c r="D12" s="75">
        <f ca="1">IFERROR(INDIRECT("'"&amp;Table47834911121314161922232421[[#This Row],[RECIPE NAME]]&amp;"'!c7"),"")</f>
        <v>518.66999999999996</v>
      </c>
      <c r="E12" s="4">
        <f ca="1">IFERROR(INDIRECT("'"&amp;Table47834911121314161922232421[[#This Row],[RECIPE NAME]]&amp;"'!c8"),"")</f>
        <v>778</v>
      </c>
      <c r="F12" s="66">
        <f ca="1">IFERROR(INDIRECT("'"&amp;Table47834911121314161922232421[[#This Row],[RECIPE NAME]]&amp;"'!c9"),"")</f>
        <v>0.3333290488431877</v>
      </c>
    </row>
    <row r="13" spans="1:6" x14ac:dyDescent="0.35">
      <c r="A13" s="73" t="s">
        <v>69</v>
      </c>
      <c r="B13" s="77">
        <f ca="1">IFERROR(PRODUCT(Table47834911121314161922232421[[#This Row],[NUMBER OF SERVINS]],Table47834911121314161922232421[[#This Row],[COST PER SERVING]]),"")</f>
        <v>2200.9499999999998</v>
      </c>
      <c r="C13">
        <f ca="1">IFERROR(INDIRECT("'"&amp;Table47834911121314161922232421[[#This Row],[RECIPE NAME]]&amp;"'!c6"),"")</f>
        <v>15</v>
      </c>
      <c r="D13" s="75">
        <f ca="1">IFERROR(INDIRECT("'"&amp;Table47834911121314161922232421[[#This Row],[RECIPE NAME]]&amp;"'!c7"),"")</f>
        <v>146.72999999999999</v>
      </c>
      <c r="E13" s="4">
        <f ca="1">IFERROR(INDIRECT("'"&amp;Table47834911121314161922232421[[#This Row],[RECIPE NAME]]&amp;"'!c8"),"")</f>
        <v>227</v>
      </c>
      <c r="F13" s="66">
        <f ca="1">IFERROR(INDIRECT("'"&amp;Table47834911121314161922232421[[#This Row],[RECIPE NAME]]&amp;"'!c9"),"")</f>
        <v>0.35361233480176218</v>
      </c>
    </row>
    <row r="14" spans="1:6" x14ac:dyDescent="0.35">
      <c r="A14" s="73" t="s">
        <v>71</v>
      </c>
      <c r="B14" s="77">
        <f ca="1">IFERROR(PRODUCT(Table47834911121314161922232421[[#This Row],[NUMBER OF SERVINS]],Table47834911121314161922232421[[#This Row],[COST PER SERVING]]),"")</f>
        <v>10530.08</v>
      </c>
      <c r="C14">
        <f ca="1">IFERROR(INDIRECT("'"&amp;Table47834911121314161922232421[[#This Row],[RECIPE NAME]]&amp;"'!c6"),"")</f>
        <v>16</v>
      </c>
      <c r="D14" s="75">
        <f ca="1">IFERROR(INDIRECT("'"&amp;Table47834911121314161922232421[[#This Row],[RECIPE NAME]]&amp;"'!c7"),"")</f>
        <v>658.13</v>
      </c>
      <c r="E14" s="4">
        <f ca="1">IFERROR(INDIRECT("'"&amp;Table47834911121314161922232421[[#This Row],[RECIPE NAME]]&amp;"'!c8"),"")</f>
        <v>1316</v>
      </c>
      <c r="F14" s="66">
        <f ca="1">IFERROR(INDIRECT("'"&amp;Table47834911121314161922232421[[#This Row],[RECIPE NAME]]&amp;"'!c9"),"")</f>
        <v>0.49990121580547114</v>
      </c>
    </row>
    <row r="15" spans="1:6" x14ac:dyDescent="0.35">
      <c r="A15" s="73" t="s">
        <v>136</v>
      </c>
      <c r="B15" s="77">
        <f ca="1">IFERROR(PRODUCT(Table47834911121314161922232421[[#This Row],[NUMBER OF SERVINS]],Table47834911121314161922232421[[#This Row],[COST PER SERVING]]),"")</f>
        <v>2283</v>
      </c>
      <c r="C15">
        <f ca="1">IFERROR(INDIRECT("'"&amp;Table47834911121314161922232421[[#This Row],[RECIPE NAME]]&amp;"'!c6"),"")</f>
        <v>12</v>
      </c>
      <c r="D15" s="75">
        <f ca="1">IFERROR(INDIRECT("'"&amp;Table47834911121314161922232421[[#This Row],[RECIPE NAME]]&amp;"'!c7"),"")</f>
        <v>190.25</v>
      </c>
      <c r="E15" s="4">
        <f ca="1">IFERROR(INDIRECT("'"&amp;Table47834911121314161922232421[[#This Row],[RECIPE NAME]]&amp;"'!c8"),"")</f>
        <v>257</v>
      </c>
      <c r="F15" s="66">
        <f ca="1">IFERROR(INDIRECT("'"&amp;Table47834911121314161922232421[[#This Row],[RECIPE NAME]]&amp;"'!c9"),"")</f>
        <v>0.25972762645914399</v>
      </c>
    </row>
    <row r="16" spans="1:6" x14ac:dyDescent="0.35">
      <c r="A16" s="73" t="s">
        <v>75</v>
      </c>
      <c r="B16" s="75">
        <f ca="1">IFERROR(PRODUCT(Table47834911121314161922232421[[#This Row],[NUMBER OF SERVINS]],Table47834911121314161922232421[[#This Row],[COST PER SERVING]]),"")</f>
        <v>2933.04</v>
      </c>
      <c r="C16">
        <f ca="1">IFERROR(INDIRECT("'"&amp;Table47834911121314161922232421[[#This Row],[RECIPE NAME]]&amp;"'!c6"),"")</f>
        <v>12</v>
      </c>
      <c r="D16" s="75">
        <f ca="1">IFERROR(INDIRECT("'"&amp;Table47834911121314161922232421[[#This Row],[RECIPE NAME]]&amp;"'!c7"),"")</f>
        <v>244.42000000000002</v>
      </c>
      <c r="E16" s="4">
        <f ca="1">IFERROR(INDIRECT("'"&amp;Table47834911121314161922232421[[#This Row],[RECIPE NAME]]&amp;"'!c8"),"")</f>
        <v>342</v>
      </c>
      <c r="F16" s="66">
        <f ca="1">IFERROR(INDIRECT("'"&amp;Table47834911121314161922232421[[#This Row],[RECIPE NAME]]&amp;"'!c9"),"")</f>
        <v>0.28532163742690053</v>
      </c>
    </row>
    <row r="17" spans="1:6" x14ac:dyDescent="0.35">
      <c r="A17" s="73" t="s">
        <v>137</v>
      </c>
      <c r="B17" s="75">
        <f ca="1">IFERROR(PRODUCT(Table47834911121314161922232421[[#This Row],[NUMBER OF SERVINS]],Table47834911121314161922232421[[#This Row],[COST PER SERVING]]),"")</f>
        <v>2936.07</v>
      </c>
      <c r="C17">
        <f ca="1">IFERROR(INDIRECT("'"&amp;Table47834911121314161922232421[[#This Row],[RECIPE NAME]]&amp;"'!c6"),"")</f>
        <v>19</v>
      </c>
      <c r="D17" s="75">
        <f ca="1">IFERROR(INDIRECT("'"&amp;Table47834911121314161922232421[[#This Row],[RECIPE NAME]]&amp;"'!c7"),"")</f>
        <v>154.53</v>
      </c>
      <c r="E17" s="4">
        <f ca="1">IFERROR(INDIRECT("'"&amp;Table47834911121314161922232421[[#This Row],[RECIPE NAME]]&amp;"'!c8"),"")</f>
        <v>209</v>
      </c>
      <c r="F17" s="66">
        <f ca="1">IFERROR(INDIRECT("'"&amp;Table47834911121314161922232421[[#This Row],[RECIPE NAME]]&amp;"'!c9"),"")</f>
        <v>0.26062200956937798</v>
      </c>
    </row>
    <row r="18" spans="1:6" x14ac:dyDescent="0.35">
      <c r="A18" s="73" t="s">
        <v>77</v>
      </c>
      <c r="B18" s="75">
        <f ca="1">IFERROR(PRODUCT(Table47834911121314161922232421[[#This Row],[NUMBER OF SERVINS]],Table47834911121314161922232421[[#This Row],[COST PER SERVING]]),"")</f>
        <v>1981.05</v>
      </c>
      <c r="C18">
        <f ca="1">IFERROR(INDIRECT("'"&amp;Table47834911121314161922232421[[#This Row],[RECIPE NAME]]&amp;"'!c6"),"")</f>
        <v>15</v>
      </c>
      <c r="D18" s="75">
        <f ca="1">IFERROR(INDIRECT("'"&amp;Table47834911121314161922232421[[#This Row],[RECIPE NAME]]&amp;"'!c7"),"")</f>
        <v>132.07</v>
      </c>
      <c r="E18" s="4">
        <f ca="1">IFERROR(INDIRECT("'"&amp;Table47834911121314161922232421[[#This Row],[RECIPE NAME]]&amp;"'!c8"),"")</f>
        <v>185</v>
      </c>
      <c r="F18" s="66">
        <f ca="1">IFERROR(INDIRECT("'"&amp;Table47834911121314161922232421[[#This Row],[RECIPE NAME]]&amp;"'!c9"),"")</f>
        <v>0.28610810810810816</v>
      </c>
    </row>
    <row r="19" spans="1:6" x14ac:dyDescent="0.35">
      <c r="A19" s="73" t="s">
        <v>80</v>
      </c>
      <c r="B19" s="75">
        <f ca="1">IFERROR(PRODUCT(Table47834911121314161922232421[[#This Row],[NUMBER OF SERVINS]],Table47834911121314161922232421[[#This Row],[COST PER SERVING]]),"")</f>
        <v>5493</v>
      </c>
      <c r="C19">
        <f ca="1">IFERROR(INDIRECT("'"&amp;Table47834911121314161922232421[[#This Row],[RECIPE NAME]]&amp;"'!c6"),"")</f>
        <v>12</v>
      </c>
      <c r="D19" s="75">
        <f ca="1">IFERROR(INDIRECT("'"&amp;Table47834911121314161922232421[[#This Row],[RECIPE NAME]]&amp;"'!c7"),"")</f>
        <v>457.75</v>
      </c>
      <c r="E19" s="4">
        <f ca="1">IFERROR(INDIRECT("'"&amp;Table47834911121314161922232421[[#This Row],[RECIPE NAME]]&amp;"'!c8"),"")</f>
        <v>687</v>
      </c>
      <c r="F19" s="66">
        <f ca="1">IFERROR(INDIRECT("'"&amp;Table47834911121314161922232421[[#This Row],[RECIPE NAME]]&amp;"'!c9"),"")</f>
        <v>0.33369723435225618</v>
      </c>
    </row>
    <row r="20" spans="1:6" x14ac:dyDescent="0.35">
      <c r="A20" s="73" t="s">
        <v>83</v>
      </c>
      <c r="B20" s="75">
        <f ca="1">IFERROR(PRODUCT(Table47834911121314161922232421[[#This Row],[NUMBER OF SERVINS]],Table47834911121314161922232421[[#This Row],[COST PER SERVING]]),"")</f>
        <v>11068</v>
      </c>
      <c r="C20">
        <f ca="1">IFERROR(INDIRECT("'"&amp;Table47834911121314161922232421[[#This Row],[RECIPE NAME]]&amp;"'!c6"),"")</f>
        <v>16</v>
      </c>
      <c r="D20" s="75">
        <f ca="1">IFERROR(INDIRECT("'"&amp;Table47834911121314161922232421[[#This Row],[RECIPE NAME]]&amp;"'!c7"),"")</f>
        <v>691.75</v>
      </c>
      <c r="E20" s="4">
        <f ca="1">IFERROR(INDIRECT("'"&amp;Table47834911121314161922232421[[#This Row],[RECIPE NAME]]&amp;"'!c8"),"")</f>
        <v>1384</v>
      </c>
      <c r="F20" s="66">
        <f ca="1">IFERROR(INDIRECT("'"&amp;Table47834911121314161922232421[[#This Row],[RECIPE NAME]]&amp;"'!c9"),"")</f>
        <v>0.50018063583815031</v>
      </c>
    </row>
    <row r="21" spans="1:6" x14ac:dyDescent="0.35">
      <c r="A21" s="73" t="s">
        <v>138</v>
      </c>
      <c r="B21" s="75">
        <f ca="1">IFERROR(PRODUCT(Table47834911121314161922232421[[#This Row],[NUMBER OF SERVINS]],Table47834911121314161922232421[[#This Row],[COST PER SERVING]]),"")</f>
        <v>3658</v>
      </c>
      <c r="C21">
        <f ca="1">IFERROR(INDIRECT("'"&amp;Table47834911121314161922232421[[#This Row],[RECIPE NAME]]&amp;"'!c6"),"")</f>
        <v>10</v>
      </c>
      <c r="D21" s="75">
        <f ca="1">IFERROR(INDIRECT("'"&amp;Table47834911121314161922232421[[#This Row],[RECIPE NAME]]&amp;"'!c7"),"")</f>
        <v>365.8</v>
      </c>
      <c r="E21" s="4">
        <f ca="1">IFERROR(INDIRECT("'"&amp;Table47834911121314161922232421[[#This Row],[RECIPE NAME]]&amp;"'!c8"),"")</f>
        <v>732</v>
      </c>
      <c r="F21" s="66">
        <f ca="1">IFERROR(INDIRECT("'"&amp;Table47834911121314161922232421[[#This Row],[RECIPE NAME]]&amp;"'!c9"),"")</f>
        <v>0.50027322404371588</v>
      </c>
    </row>
    <row r="22" spans="1:6" x14ac:dyDescent="0.35">
      <c r="A22" s="73" t="s">
        <v>85</v>
      </c>
      <c r="B22" s="75">
        <f ca="1">IFERROR(PRODUCT(Table47834911121314161922232421[[#This Row],[NUMBER OF SERVINS]],Table47834911121314161922232421[[#This Row],[COST PER SERVING]]),"")</f>
        <v>8636</v>
      </c>
      <c r="C22">
        <f ca="1">IFERROR(INDIRECT("'"&amp;Table47834911121314161922232421[[#This Row],[RECIPE NAME]]&amp;"'!c6"),"")</f>
        <v>16</v>
      </c>
      <c r="D22" s="75">
        <f ca="1">IFERROR(INDIRECT("'"&amp;Table47834911121314161922232421[[#This Row],[RECIPE NAME]]&amp;"'!c7"),"")</f>
        <v>539.75</v>
      </c>
      <c r="E22" s="4">
        <f ca="1">IFERROR(INDIRECT("'"&amp;Table47834911121314161922232421[[#This Row],[RECIPE NAME]]&amp;"'!c8"),"")</f>
        <v>1187</v>
      </c>
      <c r="F22" s="66">
        <f ca="1">IFERROR(INDIRECT("'"&amp;Table47834911121314161922232421[[#This Row],[RECIPE NAME]]&amp;"'!c9"),"")</f>
        <v>0.54528222409435556</v>
      </c>
    </row>
    <row r="23" spans="1:6" x14ac:dyDescent="0.35">
      <c r="A23" s="73" t="s">
        <v>92</v>
      </c>
      <c r="B23" s="75">
        <f ca="1">IFERROR(PRODUCT(Table47834911121314161922232421[[#This Row],[NUMBER OF SERVINS]],Table47834911121314161922232421[[#This Row],[COST PER SERVING]]),"")</f>
        <v>5803.0199999999995</v>
      </c>
      <c r="C23">
        <f ca="1">IFERROR(INDIRECT("'"&amp;Table47834911121314161922232421[[#This Row],[RECIPE NAME]]&amp;"'!c6"),"")</f>
        <v>18</v>
      </c>
      <c r="D23" s="75">
        <f ca="1">IFERROR(INDIRECT("'"&amp;Table47834911121314161922232421[[#This Row],[RECIPE NAME]]&amp;"'!c7"),"")</f>
        <v>322.39</v>
      </c>
      <c r="E23" s="4">
        <f ca="1">IFERROR(INDIRECT("'"&amp;Table47834911121314161922232421[[#This Row],[RECIPE NAME]]&amp;"'!c8"),"")</f>
        <v>645</v>
      </c>
      <c r="F23" s="66">
        <f ca="1">IFERROR(INDIRECT("'"&amp;Table47834911121314161922232421[[#This Row],[RECIPE NAME]]&amp;"'!c9"),"")</f>
        <v>0.50017054263565897</v>
      </c>
    </row>
    <row r="24" spans="1:6" x14ac:dyDescent="0.35">
      <c r="A24" s="73" t="s">
        <v>139</v>
      </c>
      <c r="B24" s="75">
        <f ca="1">IFERROR(PRODUCT(Table47834911121314161922232421[[#This Row],[NUMBER OF SERVINS]],Table47834911121314161922232421[[#This Row],[COST PER SERVING]]),"")</f>
        <v>603</v>
      </c>
      <c r="C24">
        <f ca="1">IFERROR(INDIRECT("'"&amp;Table47834911121314161922232421[[#This Row],[RECIPE NAME]]&amp;"'!c6"),"")</f>
        <v>1</v>
      </c>
      <c r="D24" s="75">
        <f ca="1">IFERROR(INDIRECT("'"&amp;Table47834911121314161922232421[[#This Row],[RECIPE NAME]]&amp;"'!c7"),"")</f>
        <v>603</v>
      </c>
      <c r="E24" s="4">
        <f ca="1">IFERROR(INDIRECT("'"&amp;Table47834911121314161922232421[[#This Row],[RECIPE NAME]]&amp;"'!c8"),"")</f>
        <v>1508</v>
      </c>
      <c r="F24" s="66">
        <f ca="1">IFERROR(INDIRECT("'"&amp;Table47834911121314161922232421[[#This Row],[RECIPE NAME]]&amp;"'!c9"),"")</f>
        <v>0.60013262599469497</v>
      </c>
    </row>
    <row r="25" spans="1:6" x14ac:dyDescent="0.35">
      <c r="A25" s="73" t="s">
        <v>158</v>
      </c>
      <c r="B25" s="75">
        <f ca="1">IFERROR(PRODUCT(Table47834911121314161922232421[[#This Row],[NUMBER OF SERVINS]],Table47834911121314161922232421[[#This Row],[COST PER SERVING]]),"")</f>
        <v>5629.04</v>
      </c>
      <c r="C25">
        <f ca="1">IFERROR(INDIRECT("'"&amp;Table47834911121314161922232421[[#This Row],[RECIPE NAME]]&amp;"'!c6"),"")</f>
        <v>34</v>
      </c>
      <c r="D25" s="75">
        <f ca="1">IFERROR(INDIRECT("'"&amp;Table47834911121314161922232421[[#This Row],[RECIPE NAME]]&amp;"'!c7"),"")</f>
        <v>165.56</v>
      </c>
      <c r="E25" s="4">
        <f ca="1">IFERROR(INDIRECT("'"&amp;Table47834911121314161922232421[[#This Row],[RECIPE NAME]]&amp;"'!c8"),"")</f>
        <v>414</v>
      </c>
      <c r="F25" s="66">
        <f ca="1">IFERROR(INDIRECT("'"&amp;Table47834911121314161922232421[[#This Row],[RECIPE NAME]]&amp;"'!c9"),"")</f>
        <v>0.60009661835748795</v>
      </c>
    </row>
    <row r="26" spans="1:6" x14ac:dyDescent="0.35">
      <c r="A26" s="73"/>
      <c r="B26" s="75">
        <f ca="1">IFERROR(PRODUCT(Table47834911121314161922232421[[#This Row],[NUMBER OF SERVINS]],Table47834911121314161922232421[[#This Row],[COST PER SERVING]]),"")</f>
        <v>0</v>
      </c>
      <c r="C26" t="str">
        <f ca="1">IFERROR(INDIRECT("'"&amp;Table47834911121314161922232421[[#This Row],[RECIPE NAME]]&amp;"'!c6"),"")</f>
        <v/>
      </c>
      <c r="D26" s="75" t="str">
        <f ca="1">IFERROR(INDIRECT("'"&amp;Table47834911121314161922232421[[#This Row],[RECIPE NAME]]&amp;"'!c7"),"")</f>
        <v/>
      </c>
      <c r="E26" s="4" t="str">
        <f ca="1">IFERROR(INDIRECT("'"&amp;Table47834911121314161922232421[[#This Row],[RECIPE NAME]]&amp;"'!c8"),"")</f>
        <v/>
      </c>
      <c r="F26" s="66" t="str">
        <f ca="1">IFERROR(INDIRECT("'"&amp;Table47834911121314161922232421[[#This Row],[RECIPE NAME]]&amp;"'!c9"),"")</f>
        <v/>
      </c>
    </row>
    <row r="27" spans="1:6" x14ac:dyDescent="0.35">
      <c r="A27" s="74" t="s">
        <v>152</v>
      </c>
      <c r="B27" s="75">
        <f ca="1">IFERROR(PRODUCT(Table47834911121314161922232421[[#This Row],[NUMBER OF SERVINS]],Table47834911121314161922232421[[#This Row],[COST PER SERVING]]),"")</f>
        <v>0</v>
      </c>
      <c r="C27" t="str">
        <f ca="1">IFERROR(INDIRECT("'"&amp;Table47834911121314161922232421[[#This Row],[RECIPE NAME]]&amp;"'!c6"),"")</f>
        <v/>
      </c>
      <c r="D27" s="75" t="str">
        <f ca="1">IFERROR(INDIRECT("'"&amp;Table47834911121314161922232421[[#This Row],[RECIPE NAME]]&amp;"'!c7"),"")</f>
        <v/>
      </c>
      <c r="E27" s="4" t="str">
        <f ca="1">IFERROR(INDIRECT("'"&amp;Table47834911121314161922232421[[#This Row],[RECIPE NAME]]&amp;"'!c8"),"")</f>
        <v/>
      </c>
      <c r="F27" s="66" t="str">
        <f ca="1">IFERROR(INDIRECT("'"&amp;Table47834911121314161922232421[[#This Row],[RECIPE NAME]]&amp;"'!c9"),"")</f>
        <v/>
      </c>
    </row>
    <row r="28" spans="1:6" x14ac:dyDescent="0.35">
      <c r="B28" s="75">
        <f ca="1">IFERROR(PRODUCT(Table47834911121314161922232421[[#This Row],[NUMBER OF SERVINS]],Table47834911121314161922232421[[#This Row],[COST PER SERVING]]),"")</f>
        <v>0</v>
      </c>
      <c r="C28" t="str">
        <f ca="1">IFERROR(INDIRECT("'"&amp;Table47834911121314161922232421[[#This Row],[RECIPE NAME]]&amp;"'!c6"),"")</f>
        <v/>
      </c>
      <c r="D28" s="75" t="str">
        <f ca="1">IFERROR(INDIRECT("'"&amp;Table47834911121314161922232421[[#This Row],[RECIPE NAME]]&amp;"'!c7"),"")</f>
        <v/>
      </c>
      <c r="E28" s="4" t="str">
        <f ca="1">IFERROR(INDIRECT("'"&amp;Table47834911121314161922232421[[#This Row],[RECIPE NAME]]&amp;"'!c8"),"")</f>
        <v/>
      </c>
      <c r="F28" s="66" t="str">
        <f ca="1">IFERROR(INDIRECT("'"&amp;Table47834911121314161922232421[[#This Row],[RECIPE NAME]]&amp;"'!c9"),"")</f>
        <v/>
      </c>
    </row>
  </sheetData>
  <hyperlinks>
    <hyperlink ref="A3" location="'ZOBO'!A1" display="ZOBO" xr:uid="{25BB0756-2C24-4262-98E5-19210CFDFD7A}"/>
    <hyperlink ref="A4" location="'BANANA BREAD'!A1" display="BANANA BREAD" xr:uid="{82AF657A-BB53-4D42-B500-072D11E55EFE}"/>
    <hyperlink ref="A5" location="'CHOCOLATE FOIL CAKE'!A1" display="CHOCOLATE FOIL CAKE" xr:uid="{4C36F3AD-E2ED-4742-8515-02C39CD65132}"/>
    <hyperlink ref="A6" location="'RED VELVET FOIL CAKE'!A1" display="RED VELVET FOIL CAKE" xr:uid="{454A344B-C2E1-4584-8D57-3BD180767AAB}"/>
    <hyperlink ref="A7" location="'Foil Cake'!A1" display="Foil Cake" xr:uid="{A6B10465-0DFD-41AE-824D-C4E2A748B539}"/>
    <hyperlink ref="A8" location="'BAGUETTE'!A1" display="BAGUETTE" xr:uid="{932AC204-1DF5-44A6-9754-B4626813C84B}"/>
    <hyperlink ref="A9" location="'BROWNIES'!A1" display="BROWNIES" xr:uid="{5C7AF2BD-F6A3-46C2-84D1-CC2630729739}"/>
    <hyperlink ref="A10" location="'CINNAMON ROLL'!A1" display="CINNAMON ROLL" xr:uid="{2B77898E-67B1-4194-9245-0D6B9DD3D7BC}"/>
    <hyperlink ref="A11" location="'MEATPIE'!A1" display="MEATPIE" xr:uid="{0213E3A4-84D9-4443-835A-03AE830D7B90}"/>
    <hyperlink ref="A12" location="'COFFEE CAKE'!A1" display="COFFEE CAKE" xr:uid="{0F0BDFDD-8BD3-4890-8FAB-26D14B1F15F3}"/>
    <hyperlink ref="A13" location="'CUPCAKE'!A1" display="CUPCAKE" xr:uid="{1F9FE64D-F28B-4327-806F-50B961E30963}"/>
    <hyperlink ref="A14" location="'BOMBOLINI'!A1" display="BOMBOLINI" xr:uid="{3B590DF4-8641-41DA-817C-162BF470E621}"/>
    <hyperlink ref="A15" location="'FISHROLL'!A1" display="FISHROLL" xr:uid="{5D7D689F-0FBE-4D6F-9ACC-314059040B3A}"/>
    <hyperlink ref="A16" location="'MUFFINS'!A1" display="MUFFINS" xr:uid="{787A2E5A-E3EA-4C3C-8B3B-B8C9C9C350EE}"/>
    <hyperlink ref="A17" location="'CROISSANTS'!A1" display="CROISSANTS" xr:uid="{A92C9E07-37F1-43CB-8CCE-45E4537262E3}"/>
    <hyperlink ref="A18" location="'BREADROLLS'!A1" display="BREADROLLS" xr:uid="{48C9D712-C9CF-4DAF-B985-E0D6C40D860A}"/>
    <hyperlink ref="A19" location="'DOUGHNUT'!A1" display="DOUGHNUT" xr:uid="{AFE75E8C-D203-45D1-A5EC-809487C8EA18}"/>
    <hyperlink ref="A20" location="'WAFFLES'!A1" display="WAFFLES" xr:uid="{A8EFC340-2B43-4055-8CDD-9D4A06E1F38B}"/>
    <hyperlink ref="A21" location="'egg toast'!A1" display="egg toast" xr:uid="{A98C6986-1B8E-4185-A4BE-5682AF63F365}"/>
    <hyperlink ref="A22" location="'TOAST'!A1" display="TOAST" xr:uid="{96B65F9F-B3C2-4176-9704-CFD26E8A883D}"/>
    <hyperlink ref="A23" location="'TOAST CREAM'!A1" display="TOAST CREAM" xr:uid="{8D537323-4449-4F72-8AE1-55D7D6DED784}"/>
    <hyperlink ref="A24" location="'CAFE LATTE'!A1" display="CAFE LATTE" xr:uid="{84C255F1-3BE6-4607-A8B2-E1558BF2B54B}"/>
    <hyperlink ref="A25" location="'chin chin '!A1" display="chin chin " xr:uid="{E0CB65CA-8EFA-453B-8C7D-73141B2EEDC9}"/>
    <hyperlink ref="A27" location="' '!A1" display=" " xr:uid="{7EEB78F3-7B7A-4340-9E12-715490A97AE4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UpdateSummarySheet">
                <anchor moveWithCells="1" sizeWithCells="1">
                  <from>
                    <xdr:col>6</xdr:col>
                    <xdr:colOff>476250</xdr:colOff>
                    <xdr:row>2</xdr:row>
                    <xdr:rowOff>19050</xdr:rowOff>
                  </from>
                  <to>
                    <xdr:col>10</xdr:col>
                    <xdr:colOff>101600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C2071-6D6A-4ECC-ADCC-E0B4BBC7B7BC}">
  <sheetPr codeName="Sheet4"/>
  <dimension ref="A1:F43"/>
  <sheetViews>
    <sheetView zoomScale="70" zoomScaleNormal="70" workbookViewId="0">
      <selection activeCell="F4" sqref="F4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97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MROUND(PRODUCT(SUM(200%,-C3),SUM(Table478349111213141619222324[TOTAL COST])),1)</f>
        <v>0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0</v>
      </c>
    </row>
    <row r="7" spans="1:6" ht="18.75" customHeight="1" x14ac:dyDescent="0.35">
      <c r="B7" s="22" t="s">
        <v>93</v>
      </c>
      <c r="C7" s="23" t="str">
        <f>IFERROR(MROUND(C4/C6,0.01),"")</f>
        <v/>
      </c>
    </row>
    <row r="8" spans="1:6" ht="18.75" customHeight="1" x14ac:dyDescent="0.35">
      <c r="B8" s="26" t="s">
        <v>59</v>
      </c>
      <c r="C8" s="10" t="str">
        <f>IF(C7="","",(MROUND(PRODUCT(C7,SUM(1,C5)),1)))</f>
        <v/>
      </c>
    </row>
    <row r="9" spans="1:6" ht="18.75" customHeight="1" thickBot="1" x14ac:dyDescent="0.4">
      <c r="B9" s="29" t="s">
        <v>94</v>
      </c>
      <c r="C9" s="27" t="str">
        <f>IFERROR((C8-C7)/C8,"")</f>
        <v/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s="38"/>
      <c r="C12" s="38"/>
      <c r="E12" t="str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/>
      </c>
      <c r="F12" s="4">
        <f t="shared" ref="F12:F43" si="0">IF(PRODUCT(E12,C12)=1,0,PRODUCT(E12,C12))</f>
        <v>0</v>
      </c>
    </row>
    <row r="13" spans="1:6" x14ac:dyDescent="0.35">
      <c r="B13" s="38"/>
      <c r="C13" s="38"/>
      <c r="E13" t="str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/>
      </c>
      <c r="F13" s="4">
        <f t="shared" si="0"/>
        <v>0</v>
      </c>
    </row>
    <row r="14" spans="1:6" x14ac:dyDescent="0.35">
      <c r="B14" s="38"/>
      <c r="C14" s="38"/>
      <c r="E14" t="str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/>
      </c>
      <c r="F14" s="4">
        <f t="shared" si="0"/>
        <v>0</v>
      </c>
    </row>
    <row r="15" spans="1:6" x14ac:dyDescent="0.35">
      <c r="B15" s="38"/>
      <c r="C15" s="38"/>
      <c r="E15" t="str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/>
      </c>
      <c r="F15" s="4">
        <f t="shared" si="0"/>
        <v>0</v>
      </c>
    </row>
    <row r="16" spans="1:6" x14ac:dyDescent="0.35">
      <c r="B16" s="38"/>
      <c r="C16" s="38"/>
      <c r="E16" t="str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/>
      </c>
      <c r="F16" s="4">
        <f t="shared" si="0"/>
        <v>0</v>
      </c>
    </row>
    <row r="17" spans="2:6" x14ac:dyDescent="0.35">
      <c r="B17" s="38"/>
      <c r="C17" s="38"/>
      <c r="E17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/>
      </c>
      <c r="F17" s="4">
        <f t="shared" si="0"/>
        <v>0</v>
      </c>
    </row>
    <row r="18" spans="2:6" x14ac:dyDescent="0.35">
      <c r="B18" s="38"/>
      <c r="C18" s="38"/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2:6" x14ac:dyDescent="0.35">
      <c r="B19" s="38"/>
      <c r="C19" s="38"/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2:6" x14ac:dyDescent="0.35">
      <c r="B20" s="38"/>
      <c r="C20" s="38"/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B21" s="38"/>
      <c r="C21" s="38"/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B22" s="38"/>
      <c r="C22" s="38"/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B23" s="38"/>
      <c r="C23" s="38"/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B24" s="38"/>
      <c r="C24" s="38"/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uplicatesheet">
                <anchor moveWithCells="1" sizeWithCells="1">
                  <from>
                    <xdr:col>4</xdr:col>
                    <xdr:colOff>133350</xdr:colOff>
                    <xdr:row>1</xdr:row>
                    <xdr:rowOff>57150</xdr:rowOff>
                  </from>
                  <to>
                    <xdr:col>4</xdr:col>
                    <xdr:colOff>3086100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6DE84D-2C28-4D94-A5B0-AA73AE568196}">
          <x14:formula1>
            <xm:f>UNITS!$A$2:$A$9</xm:f>
          </x14:formula1>
          <xm:sqref>D12:D43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B6C2-7F6D-41C2-94F7-CBF87643092F}">
  <sheetPr codeName="Sheet18"/>
  <dimension ref="A1:F43"/>
  <sheetViews>
    <sheetView zoomScale="70" zoomScaleNormal="70" workbookViewId="0"/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147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MROUND(PRODUCT(SUM(200%,-C3),SUM(Table47834911121314161922232427[TOTAL COST])),1)</f>
        <v>1980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22" t="s">
        <v>93</v>
      </c>
      <c r="C7" s="23">
        <f>IFERROR(MROUND(C4/C6,0.01),"")</f>
        <v>165</v>
      </c>
    </row>
    <row r="8" spans="1:6" ht="18.75" customHeight="1" x14ac:dyDescent="0.35">
      <c r="B8" s="26" t="s">
        <v>59</v>
      </c>
      <c r="C8" s="10">
        <f>IF(C7="","",(MROUND(PRODUCT(C7,SUM(1,C5)),1)))</f>
        <v>413</v>
      </c>
    </row>
    <row r="9" spans="1:6" ht="18.75" customHeight="1" thickBot="1" x14ac:dyDescent="0.4">
      <c r="B9" s="29" t="s">
        <v>94</v>
      </c>
      <c r="C9" s="27">
        <f>IFERROR((C8-C7)/C8,"")</f>
        <v>0.6004842615012107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s="38" t="s">
        <v>147</v>
      </c>
      <c r="C12" s="38">
        <v>200</v>
      </c>
      <c r="D12" t="s">
        <v>2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4</v>
      </c>
      <c r="F12" s="4">
        <f t="shared" ref="F12:F43" si="0">IF(PRODUCT(E12,C12)=1,0,PRODUCT(E12,C12))</f>
        <v>800</v>
      </c>
    </row>
    <row r="13" spans="1:6" x14ac:dyDescent="0.35">
      <c r="B13" s="38" t="s">
        <v>149</v>
      </c>
      <c r="C13" s="38">
        <v>0.5</v>
      </c>
      <c r="D13" t="s">
        <v>8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1000</v>
      </c>
      <c r="F13" s="4">
        <f t="shared" si="0"/>
        <v>500</v>
      </c>
    </row>
    <row r="14" spans="1:6" x14ac:dyDescent="0.35">
      <c r="B14" s="38" t="s">
        <v>148</v>
      </c>
      <c r="C14" s="38">
        <v>2</v>
      </c>
      <c r="D14" t="s">
        <v>8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200</v>
      </c>
      <c r="F14" s="4">
        <f t="shared" si="0"/>
        <v>400</v>
      </c>
    </row>
    <row r="15" spans="1:6" x14ac:dyDescent="0.35">
      <c r="B15" s="38" t="s">
        <v>151</v>
      </c>
      <c r="C15" s="38">
        <v>0</v>
      </c>
      <c r="D15" t="s">
        <v>8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1200</v>
      </c>
      <c r="F15" s="4">
        <f t="shared" si="0"/>
        <v>0</v>
      </c>
    </row>
    <row r="16" spans="1:6" x14ac:dyDescent="0.35">
      <c r="B16" s="38" t="s">
        <v>150</v>
      </c>
      <c r="C16" s="38">
        <v>1</v>
      </c>
      <c r="D16" t="s">
        <v>8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100</v>
      </c>
      <c r="F16" s="4">
        <f t="shared" si="0"/>
        <v>100</v>
      </c>
    </row>
    <row r="17" spans="2:6" x14ac:dyDescent="0.35">
      <c r="B17" s="38"/>
      <c r="C17" s="38"/>
      <c r="E17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/>
      </c>
      <c r="F17" s="4">
        <f t="shared" si="0"/>
        <v>0</v>
      </c>
    </row>
    <row r="18" spans="2:6" x14ac:dyDescent="0.35">
      <c r="B18" s="38"/>
      <c r="C18" s="38"/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2:6" x14ac:dyDescent="0.35">
      <c r="B19" s="38"/>
      <c r="C19" s="38"/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2:6" x14ac:dyDescent="0.35">
      <c r="B20" s="38"/>
      <c r="C20" s="38"/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B21" s="38"/>
      <c r="C21" s="38"/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B22" s="38"/>
      <c r="C22" s="38"/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B23" s="38"/>
      <c r="C23" s="38"/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B24" s="38"/>
      <c r="C24" s="38"/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64F59D-C2AE-4ABF-B236-B4A18FEE37FE}">
          <x14:formula1>
            <xm:f>UNITS!$A$2:$A$9</xm:f>
          </x14:formula1>
          <xm:sqref>D12:D43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05E45-A903-4E6C-9FC4-E35B4A50058D}">
  <sheetPr codeName="Sheet28"/>
  <dimension ref="A1:F42"/>
  <sheetViews>
    <sheetView topLeftCell="A12" zoomScale="70" zoomScaleNormal="70" workbookViewId="0">
      <selection activeCell="C6" sqref="C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125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MROUND(PRODUCT(SUM(200%,-C3),SUM(Table47834911121314161922232428[TOTAL COST])),1)</f>
        <v>6114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9</v>
      </c>
    </row>
    <row r="7" spans="1:6" ht="18.75" customHeight="1" x14ac:dyDescent="0.35">
      <c r="B7" s="22" t="s">
        <v>93</v>
      </c>
      <c r="C7" s="23">
        <f>IFERROR(MROUND(C4/C6,0.01),"")</f>
        <v>679.33</v>
      </c>
      <c r="E7" s="4">
        <f>250/4</f>
        <v>62.5</v>
      </c>
    </row>
    <row r="8" spans="1:6" ht="18.75" customHeight="1" x14ac:dyDescent="0.35">
      <c r="B8" s="26" t="s">
        <v>59</v>
      </c>
      <c r="C8" s="10">
        <f>IF(C7="","",(MROUND(PRODUCT(C7,SUM(1,C5)),1)))</f>
        <v>1698</v>
      </c>
      <c r="E8" s="4">
        <f>E7*3</f>
        <v>187.5</v>
      </c>
    </row>
    <row r="9" spans="1:6" ht="18.75" customHeight="1" thickBot="1" x14ac:dyDescent="0.4">
      <c r="B9" s="29" t="s">
        <v>94</v>
      </c>
      <c r="C9" s="27">
        <f>IFERROR((C8-C7)/C8,"")</f>
        <v>0.59992343934040049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s="38" t="s">
        <v>117</v>
      </c>
      <c r="C12" s="39">
        <v>3</v>
      </c>
      <c r="D12" t="s">
        <v>1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175</v>
      </c>
      <c r="F12" s="4">
        <f t="shared" ref="F12:F42" si="0">IF(PRODUCT(E12,C12)=1,0,PRODUCT(E12,C12))</f>
        <v>525</v>
      </c>
    </row>
    <row r="13" spans="1:6" x14ac:dyDescent="0.35">
      <c r="B13" s="38" t="s">
        <v>118</v>
      </c>
      <c r="C13" s="39">
        <v>240</v>
      </c>
      <c r="D13" t="s">
        <v>2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si="0"/>
        <v>480</v>
      </c>
    </row>
    <row r="14" spans="1:6" x14ac:dyDescent="0.35">
      <c r="B14" s="38" t="s">
        <v>105</v>
      </c>
      <c r="C14" s="39">
        <v>6</v>
      </c>
      <c r="D14" t="s">
        <v>2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6</v>
      </c>
      <c r="F14" s="4">
        <f t="shared" si="0"/>
        <v>36</v>
      </c>
    </row>
    <row r="15" spans="1:6" x14ac:dyDescent="0.35">
      <c r="B15" s="38" t="s">
        <v>104</v>
      </c>
      <c r="C15" s="39">
        <v>6</v>
      </c>
      <c r="D15" t="s">
        <v>2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3</v>
      </c>
      <c r="F15" s="4">
        <f t="shared" si="0"/>
        <v>18</v>
      </c>
    </row>
    <row r="16" spans="1:6" x14ac:dyDescent="0.35">
      <c r="B16" s="38" t="s">
        <v>101</v>
      </c>
      <c r="C16" s="39">
        <v>0.5</v>
      </c>
      <c r="D16" t="s">
        <v>106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3</v>
      </c>
      <c r="F16" s="4">
        <f t="shared" si="0"/>
        <v>1.5</v>
      </c>
    </row>
    <row r="17" spans="2:6" x14ac:dyDescent="0.35">
      <c r="B17" s="38" t="s">
        <v>36</v>
      </c>
      <c r="C17" s="39">
        <v>190</v>
      </c>
      <c r="D17" t="s">
        <v>34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3</v>
      </c>
      <c r="F17" s="4">
        <f t="shared" si="0"/>
        <v>570</v>
      </c>
    </row>
    <row r="18" spans="2:6" x14ac:dyDescent="0.35">
      <c r="B18" s="38" t="s">
        <v>124</v>
      </c>
      <c r="C18" s="39">
        <v>75</v>
      </c>
      <c r="D18" t="s">
        <v>34</v>
      </c>
      <c r="E18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3</v>
      </c>
      <c r="F18" s="4">
        <f t="shared" si="0"/>
        <v>225</v>
      </c>
    </row>
    <row r="19" spans="2:6" x14ac:dyDescent="0.35">
      <c r="B19" s="38" t="s">
        <v>103</v>
      </c>
      <c r="C19" s="39">
        <v>2</v>
      </c>
      <c r="D19" t="s">
        <v>8</v>
      </c>
      <c r="E19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200</v>
      </c>
      <c r="F19" s="4">
        <f t="shared" si="0"/>
        <v>400</v>
      </c>
    </row>
    <row r="20" spans="2:6" x14ac:dyDescent="0.35">
      <c r="B20" s="38" t="s">
        <v>123</v>
      </c>
      <c r="C20" s="39">
        <v>360</v>
      </c>
      <c r="D20" t="s">
        <v>2</v>
      </c>
      <c r="E20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3</v>
      </c>
      <c r="F20" s="4">
        <f t="shared" si="0"/>
        <v>1080</v>
      </c>
    </row>
    <row r="21" spans="2:6" x14ac:dyDescent="0.35">
      <c r="B21" s="38" t="s">
        <v>28</v>
      </c>
      <c r="C21" s="39">
        <v>1</v>
      </c>
      <c r="D21" t="s">
        <v>106</v>
      </c>
      <c r="E21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125</v>
      </c>
      <c r="F21" s="4">
        <f t="shared" si="0"/>
        <v>125</v>
      </c>
    </row>
    <row r="22" spans="2:6" x14ac:dyDescent="0.35">
      <c r="B22" s="38" t="s">
        <v>120</v>
      </c>
      <c r="C22" s="39">
        <v>9</v>
      </c>
      <c r="D22" t="s">
        <v>106</v>
      </c>
      <c r="E22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41</v>
      </c>
      <c r="F22" s="4">
        <f t="shared" si="0"/>
        <v>369</v>
      </c>
    </row>
    <row r="23" spans="2:6" x14ac:dyDescent="0.35">
      <c r="B23" s="38" t="s">
        <v>146</v>
      </c>
      <c r="C23" s="39">
        <v>3</v>
      </c>
      <c r="D23" t="s">
        <v>2</v>
      </c>
      <c r="E23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10</v>
      </c>
      <c r="F23" s="4">
        <f t="shared" si="0"/>
        <v>30</v>
      </c>
    </row>
    <row r="24" spans="2:6" x14ac:dyDescent="0.35">
      <c r="B24" t="s">
        <v>107</v>
      </c>
      <c r="C24" s="40">
        <v>9</v>
      </c>
      <c r="D24" t="s">
        <v>82</v>
      </c>
      <c r="E2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100</v>
      </c>
      <c r="F24" s="4">
        <f t="shared" si="0"/>
        <v>900</v>
      </c>
    </row>
    <row r="25" spans="2:6" x14ac:dyDescent="0.35">
      <c r="B25" t="s">
        <v>122</v>
      </c>
      <c r="C25" s="40">
        <v>1</v>
      </c>
      <c r="D25" t="s">
        <v>8</v>
      </c>
      <c r="E25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>734</v>
      </c>
      <c r="F25" s="4">
        <f t="shared" si="0"/>
        <v>734</v>
      </c>
    </row>
    <row r="26" spans="2:6" x14ac:dyDescent="0.35">
      <c r="B26" t="s">
        <v>119</v>
      </c>
      <c r="C26">
        <v>8</v>
      </c>
      <c r="D26" t="s">
        <v>2</v>
      </c>
      <c r="E26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>8</v>
      </c>
      <c r="F26" s="4">
        <f t="shared" si="0"/>
        <v>64</v>
      </c>
    </row>
    <row r="27" spans="2:6" x14ac:dyDescent="0.35">
      <c r="B27" t="s">
        <v>78</v>
      </c>
      <c r="C27" s="36">
        <v>0.33333333333333331</v>
      </c>
      <c r="D27" t="s">
        <v>1</v>
      </c>
      <c r="E27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>2</v>
      </c>
      <c r="F27" s="4">
        <f t="shared" si="0"/>
        <v>0.66666666666666663</v>
      </c>
    </row>
    <row r="28" spans="2:6" x14ac:dyDescent="0.35">
      <c r="C28" t="s">
        <v>152</v>
      </c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6AEC25-2D34-4AF4-818D-A7B78B986072}">
          <x14:formula1>
            <xm:f>UNITS!$A$2:$A$9</xm:f>
          </x14:formula1>
          <xm:sqref>D12:D42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B2B0F-E127-4AF4-B22E-6E1ACDC84759}">
  <sheetPr codeName="Sheet27"/>
  <dimension ref="A1:F42"/>
  <sheetViews>
    <sheetView zoomScale="70" zoomScaleNormal="70" workbookViewId="0">
      <selection activeCell="C13" sqref="C13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115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MROUND(PRODUCT(SUM(200%,-C3),SUM(Table47834911121314161922232426[TOTAL COST])),1)</f>
        <v>2442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7</v>
      </c>
    </row>
    <row r="7" spans="1:6" ht="18.75" customHeight="1" x14ac:dyDescent="0.35">
      <c r="B7" s="22" t="s">
        <v>93</v>
      </c>
      <c r="C7" s="23">
        <f>IFERROR(MROUND(C4/C6,0.01),"")</f>
        <v>348.86</v>
      </c>
    </row>
    <row r="8" spans="1:6" ht="18.75" customHeight="1" x14ac:dyDescent="0.35">
      <c r="B8" s="26" t="s">
        <v>59</v>
      </c>
      <c r="C8" s="10">
        <f>IF(C7="","",(MROUND(PRODUCT(C7,SUM(1,C5)),1)))</f>
        <v>872</v>
      </c>
    </row>
    <row r="9" spans="1:6" ht="18.75" customHeight="1" thickBot="1" x14ac:dyDescent="0.4">
      <c r="B9" s="29" t="s">
        <v>94</v>
      </c>
      <c r="C9" s="27">
        <f>IFERROR((C8-C7)/C8,"")</f>
        <v>0.59993119266055039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107</v>
      </c>
      <c r="C12">
        <v>0</v>
      </c>
      <c r="D12" t="s">
        <v>8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100</v>
      </c>
      <c r="F12" s="4">
        <f t="shared" ref="F12:F42" si="0">IF(PRODUCT(E12,C12)=1,0,PRODUCT(E12,C12))</f>
        <v>0</v>
      </c>
    </row>
    <row r="13" spans="1:6" x14ac:dyDescent="0.35">
      <c r="B13" s="37" t="s">
        <v>117</v>
      </c>
      <c r="C13">
        <v>2</v>
      </c>
      <c r="D13" t="s">
        <v>1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175</v>
      </c>
      <c r="F13" s="4">
        <f t="shared" si="0"/>
        <v>350</v>
      </c>
    </row>
    <row r="14" spans="1:6" x14ac:dyDescent="0.35">
      <c r="B14" s="37" t="s">
        <v>118</v>
      </c>
      <c r="C14" s="18">
        <v>200</v>
      </c>
      <c r="D14" t="s">
        <v>72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2</v>
      </c>
      <c r="F14" s="4">
        <f t="shared" si="0"/>
        <v>400</v>
      </c>
    </row>
    <row r="15" spans="1:6" x14ac:dyDescent="0.35">
      <c r="B15" s="37" t="s">
        <v>119</v>
      </c>
      <c r="C15" s="36">
        <v>4</v>
      </c>
      <c r="D15" t="s">
        <v>6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59</v>
      </c>
      <c r="F15" s="4">
        <f t="shared" si="0"/>
        <v>236</v>
      </c>
    </row>
    <row r="16" spans="1:6" x14ac:dyDescent="0.35">
      <c r="B16" s="37" t="s">
        <v>105</v>
      </c>
      <c r="C16">
        <v>2</v>
      </c>
      <c r="D16" t="s">
        <v>7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15</v>
      </c>
      <c r="F16" s="4">
        <f t="shared" si="0"/>
        <v>30</v>
      </c>
    </row>
    <row r="17" spans="2:6" x14ac:dyDescent="0.35">
      <c r="B17" s="37" t="s">
        <v>104</v>
      </c>
      <c r="C17">
        <v>1</v>
      </c>
      <c r="D17" t="s">
        <v>7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8</v>
      </c>
      <c r="F17" s="4">
        <f t="shared" si="0"/>
        <v>8</v>
      </c>
    </row>
    <row r="18" spans="2:6" x14ac:dyDescent="0.35">
      <c r="B18" s="37" t="s">
        <v>101</v>
      </c>
      <c r="C18">
        <v>0.5</v>
      </c>
      <c r="D18" t="s">
        <v>7</v>
      </c>
      <c r="E18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3</v>
      </c>
      <c r="F18" s="4">
        <f t="shared" si="0"/>
        <v>1.5</v>
      </c>
    </row>
    <row r="19" spans="2:6" x14ac:dyDescent="0.35">
      <c r="B19" s="37" t="s">
        <v>116</v>
      </c>
      <c r="C19">
        <v>0.5</v>
      </c>
      <c r="D19" t="s">
        <v>1</v>
      </c>
      <c r="E19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733</v>
      </c>
      <c r="F19" s="4">
        <f t="shared" si="0"/>
        <v>366.5</v>
      </c>
    </row>
    <row r="20" spans="2:6" x14ac:dyDescent="0.35">
      <c r="B20" s="37" t="s">
        <v>128</v>
      </c>
      <c r="C20">
        <v>0.25</v>
      </c>
      <c r="D20" t="s">
        <v>1</v>
      </c>
      <c r="E20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550</v>
      </c>
      <c r="F20" s="4">
        <f t="shared" si="0"/>
        <v>137.5</v>
      </c>
    </row>
    <row r="21" spans="2:6" x14ac:dyDescent="0.35">
      <c r="B21" s="37" t="s">
        <v>103</v>
      </c>
      <c r="C21">
        <v>2</v>
      </c>
      <c r="D21" t="s">
        <v>8</v>
      </c>
      <c r="E21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200</v>
      </c>
      <c r="F21" s="4">
        <f t="shared" si="0"/>
        <v>400</v>
      </c>
    </row>
    <row r="22" spans="2:6" x14ac:dyDescent="0.35">
      <c r="B22" s="37" t="s">
        <v>84</v>
      </c>
      <c r="C22">
        <v>0.5</v>
      </c>
      <c r="D22" t="s">
        <v>6</v>
      </c>
      <c r="E22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375</v>
      </c>
      <c r="F22" s="4">
        <f t="shared" si="0"/>
        <v>187.5</v>
      </c>
    </row>
    <row r="23" spans="2:6" x14ac:dyDescent="0.35">
      <c r="B23" s="37" t="s">
        <v>78</v>
      </c>
      <c r="C23">
        <v>1.5</v>
      </c>
      <c r="D23" t="s">
        <v>1</v>
      </c>
      <c r="E23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2</v>
      </c>
      <c r="F23" s="4">
        <f t="shared" si="0"/>
        <v>3</v>
      </c>
    </row>
    <row r="24" spans="2:6" x14ac:dyDescent="0.35">
      <c r="B24" t="s">
        <v>159</v>
      </c>
      <c r="C24">
        <v>1</v>
      </c>
      <c r="D24" t="s">
        <v>8</v>
      </c>
      <c r="E2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100</v>
      </c>
      <c r="F24" s="4">
        <f t="shared" si="0"/>
        <v>100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32B3F5-26CE-4544-9CB4-C450B5E2B60F}">
          <x14:formula1>
            <xm:f>UNITS!$A$2:$A$9</xm:f>
          </x14:formula1>
          <xm:sqref>D12:D42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18C71-E63A-4F94-BF5A-9EB0C7F4E632}">
  <sheetPr codeName="Sheet26"/>
  <dimension ref="A1:F41"/>
  <sheetViews>
    <sheetView topLeftCell="A2" zoomScale="70" zoomScaleNormal="70" workbookViewId="0">
      <selection activeCell="F15" sqref="F15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109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MROUND(PRODUCT(SUM(200%,-C3),SUM(Table47834911121314161922232425[TOTAL COST])),1)</f>
        <v>2612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7</v>
      </c>
    </row>
    <row r="7" spans="1:6" ht="18.75" customHeight="1" x14ac:dyDescent="0.35">
      <c r="B7" s="22" t="s">
        <v>93</v>
      </c>
      <c r="C7" s="23">
        <f>IFERROR(MROUND(C4/C6,0.01),"")</f>
        <v>373.14</v>
      </c>
    </row>
    <row r="8" spans="1:6" ht="18.75" customHeight="1" x14ac:dyDescent="0.35">
      <c r="B8" s="26" t="s">
        <v>59</v>
      </c>
      <c r="C8" s="10">
        <f>IF(C7="","",(MROUND(PRODUCT(C7,SUM(1,C5)),1)))</f>
        <v>933</v>
      </c>
    </row>
    <row r="9" spans="1:6" ht="18.75" customHeight="1" thickBot="1" x14ac:dyDescent="0.4">
      <c r="B9" s="29" t="s">
        <v>94</v>
      </c>
      <c r="C9" s="27">
        <f>IFERROR((C8-C7)/C8,"")</f>
        <v>0.60006430868167204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99</v>
      </c>
      <c r="C12">
        <v>2</v>
      </c>
      <c r="D12" t="s">
        <v>79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175</v>
      </c>
      <c r="F12" s="4">
        <f t="shared" ref="F12:F41" si="0">IF(PRODUCT(E12,C12)=1,0,PRODUCT(E12,C12))</f>
        <v>350</v>
      </c>
    </row>
    <row r="13" spans="1:6" x14ac:dyDescent="0.35">
      <c r="B13" t="s">
        <v>100</v>
      </c>
      <c r="C13">
        <v>200</v>
      </c>
      <c r="D13" t="s">
        <v>72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si="0"/>
        <v>400</v>
      </c>
    </row>
    <row r="14" spans="1:6" x14ac:dyDescent="0.35">
      <c r="B14" t="s">
        <v>101</v>
      </c>
      <c r="C14" s="18">
        <v>0.5</v>
      </c>
      <c r="D14" t="s">
        <v>106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</v>
      </c>
      <c r="F14" s="4">
        <f t="shared" si="0"/>
        <v>1.5</v>
      </c>
    </row>
    <row r="15" spans="1:6" x14ac:dyDescent="0.35">
      <c r="B15" t="s">
        <v>128</v>
      </c>
      <c r="C15">
        <v>0.125</v>
      </c>
      <c r="D15" t="s">
        <v>1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550</v>
      </c>
      <c r="F15" s="4">
        <f t="shared" si="0"/>
        <v>68.75</v>
      </c>
    </row>
    <row r="16" spans="1:6" x14ac:dyDescent="0.35">
      <c r="B16" t="s">
        <v>102</v>
      </c>
      <c r="C16" s="18">
        <v>0.5</v>
      </c>
      <c r="D16" t="s">
        <v>1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733</v>
      </c>
      <c r="F16" s="4">
        <f t="shared" si="0"/>
        <v>366.5</v>
      </c>
    </row>
    <row r="17" spans="2:6" x14ac:dyDescent="0.35">
      <c r="B17" t="s">
        <v>103</v>
      </c>
      <c r="C17">
        <v>2</v>
      </c>
      <c r="D17" t="s">
        <v>82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200</v>
      </c>
      <c r="F17" s="4">
        <f t="shared" si="0"/>
        <v>400</v>
      </c>
    </row>
    <row r="18" spans="2:6" x14ac:dyDescent="0.35">
      <c r="B18" t="s">
        <v>84</v>
      </c>
      <c r="C18">
        <v>1</v>
      </c>
      <c r="D18" t="s">
        <v>106</v>
      </c>
      <c r="E18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125</v>
      </c>
      <c r="F18" s="4">
        <f t="shared" si="0"/>
        <v>125</v>
      </c>
    </row>
    <row r="19" spans="2:6" x14ac:dyDescent="0.35">
      <c r="B19" t="s">
        <v>111</v>
      </c>
      <c r="C19">
        <v>1</v>
      </c>
      <c r="D19" t="s">
        <v>7</v>
      </c>
      <c r="E19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8</v>
      </c>
      <c r="F19" s="4">
        <f t="shared" si="0"/>
        <v>8</v>
      </c>
    </row>
    <row r="20" spans="2:6" x14ac:dyDescent="0.35">
      <c r="B20" t="s">
        <v>112</v>
      </c>
      <c r="C20">
        <v>1</v>
      </c>
      <c r="D20" t="s">
        <v>106</v>
      </c>
      <c r="E20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6</v>
      </c>
      <c r="F20" s="4">
        <f t="shared" si="0"/>
        <v>6</v>
      </c>
    </row>
    <row r="21" spans="2:6" x14ac:dyDescent="0.35">
      <c r="B21" t="s">
        <v>78</v>
      </c>
      <c r="C21">
        <v>0.5</v>
      </c>
      <c r="D21" s="19" t="s">
        <v>1</v>
      </c>
      <c r="E21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2</v>
      </c>
      <c r="F21" s="4">
        <f>IF(PRODUCT(E21,C21)=1,0,PRODUCT(E21,C21))</f>
        <v>0</v>
      </c>
    </row>
    <row r="22" spans="2:6" x14ac:dyDescent="0.35">
      <c r="B22" t="s">
        <v>110</v>
      </c>
      <c r="C22">
        <v>2</v>
      </c>
      <c r="D22" t="s">
        <v>106</v>
      </c>
      <c r="E22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20</v>
      </c>
      <c r="F22" s="4">
        <f>IF(PRODUCT(E22,C22)=1,0,PRODUCT(E22,C22))</f>
        <v>40</v>
      </c>
    </row>
    <row r="23" spans="2:6" x14ac:dyDescent="0.35">
      <c r="B23" t="s">
        <v>113</v>
      </c>
      <c r="C23">
        <v>1.2500000000000001E-2</v>
      </c>
      <c r="D23" t="s">
        <v>8</v>
      </c>
      <c r="E23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700</v>
      </c>
      <c r="F23" s="4">
        <f t="shared" si="0"/>
        <v>8.75</v>
      </c>
    </row>
    <row r="24" spans="2:6" x14ac:dyDescent="0.35">
      <c r="B24" t="s">
        <v>107</v>
      </c>
      <c r="C24">
        <v>6</v>
      </c>
      <c r="D24" t="s">
        <v>82</v>
      </c>
      <c r="E2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100</v>
      </c>
      <c r="F24" s="4">
        <f t="shared" si="0"/>
        <v>600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'!$A$3:A97,0)),"Ingredient NOT found",IF(ISNA(MATCH(D41,'INGREDIENT '!$F$2:$M$2,0)),"Unit of Measure not Selected",IF(INDEX('INGREDIENT '!$F$3:$M97,MATCH(B41,'INGREDIENT '!$A$3:A97,0),MATCH(D41,'INGREDIENT '!$F$2:$M$2,0))="","Wrong Unit Of Measure",ROUNDUP(INDEX('INGREDIENT '!$F$3:$M97,MATCH(B41,'INGREDIENT '!$A$3:A97,0),MATCH(D41,'INGREDIENT '!$F$2:$M$2,0)),0.1)))))</f>
        <v/>
      </c>
      <c r="F41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02B551-3BE4-4B1A-A267-14084C0CED19}">
          <x14:formula1>
            <xm:f>UNITS!$A$2:$A$9</xm:f>
          </x14:formula1>
          <xm:sqref>D12:D41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410F0-9A26-4FED-B27E-CEBB0AF6A135}">
  <sheetPr codeName="Sheet24"/>
  <dimension ref="A1:I42"/>
  <sheetViews>
    <sheetView zoomScale="70" zoomScaleNormal="70" workbookViewId="0">
      <selection activeCell="I16" sqref="I1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  <col min="9" max="9" width="8.90625" bestFit="1" customWidth="1"/>
  </cols>
  <sheetData>
    <row r="1" spans="1:9" ht="15" thickBot="1" x14ac:dyDescent="0.4"/>
    <row r="2" spans="1:9" ht="18.75" customHeight="1" x14ac:dyDescent="0.35">
      <c r="B2" s="6" t="s">
        <v>53</v>
      </c>
      <c r="C2" s="11" t="s">
        <v>98</v>
      </c>
    </row>
    <row r="3" spans="1:9" ht="18.75" customHeight="1" x14ac:dyDescent="0.35">
      <c r="B3" s="7" t="s">
        <v>55</v>
      </c>
      <c r="C3" s="12">
        <v>0.9</v>
      </c>
    </row>
    <row r="4" spans="1:9" ht="18.75" customHeight="1" x14ac:dyDescent="0.35">
      <c r="B4" s="7" t="s">
        <v>56</v>
      </c>
      <c r="C4" s="10">
        <f>MROUND(PRODUCT(SUM(200%,-C3),SUM(Table47834911121314161922232423[TOTAL COST])),1)</f>
        <v>2534</v>
      </c>
    </row>
    <row r="5" spans="1:9" ht="18.75" customHeight="1" x14ac:dyDescent="0.35">
      <c r="B5" s="7" t="s">
        <v>57</v>
      </c>
      <c r="C5" s="9">
        <v>1.5</v>
      </c>
    </row>
    <row r="6" spans="1:9" ht="18.75" customHeight="1" x14ac:dyDescent="0.35">
      <c r="B6" s="7" t="s">
        <v>58</v>
      </c>
      <c r="C6" s="8">
        <v>6</v>
      </c>
    </row>
    <row r="7" spans="1:9" ht="18.75" customHeight="1" x14ac:dyDescent="0.35">
      <c r="B7" s="22" t="s">
        <v>93</v>
      </c>
      <c r="C7" s="23">
        <f>IFERROR(MROUND(C4/C6,0.01),"")</f>
        <v>422.33</v>
      </c>
    </row>
    <row r="8" spans="1:9" ht="18.75" customHeight="1" x14ac:dyDescent="0.35">
      <c r="B8" s="26" t="s">
        <v>59</v>
      </c>
      <c r="C8" s="10">
        <f>IF(C7="","",(MROUND(PRODUCT(C7,SUM(1,C5)),1)))</f>
        <v>1056</v>
      </c>
    </row>
    <row r="9" spans="1:9" ht="18.75" customHeight="1" thickBot="1" x14ac:dyDescent="0.4">
      <c r="B9" s="29" t="s">
        <v>94</v>
      </c>
      <c r="C9" s="27">
        <f>IFERROR((C8-C7)/C8,"")</f>
        <v>0.60006628787878791</v>
      </c>
    </row>
    <row r="11" spans="1:9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9" x14ac:dyDescent="0.35">
      <c r="B12" t="s">
        <v>99</v>
      </c>
      <c r="C12">
        <v>2</v>
      </c>
      <c r="D12" t="s">
        <v>79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175</v>
      </c>
      <c r="F12" s="4">
        <f t="shared" ref="F12:F42" si="0">IF(PRODUCT(E12,C12)=1,0,PRODUCT(E12,C12))</f>
        <v>350</v>
      </c>
    </row>
    <row r="13" spans="1:9" x14ac:dyDescent="0.35">
      <c r="B13" t="s">
        <v>100</v>
      </c>
      <c r="C13">
        <v>180</v>
      </c>
      <c r="D13" t="s">
        <v>72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si="0"/>
        <v>360</v>
      </c>
    </row>
    <row r="14" spans="1:9" x14ac:dyDescent="0.35">
      <c r="B14" t="s">
        <v>101</v>
      </c>
      <c r="C14">
        <v>1</v>
      </c>
      <c r="D14" t="s">
        <v>106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</v>
      </c>
      <c r="F14" s="4">
        <f t="shared" si="0"/>
        <v>3</v>
      </c>
    </row>
    <row r="15" spans="1:9" x14ac:dyDescent="0.35">
      <c r="B15" t="s">
        <v>128</v>
      </c>
      <c r="C15">
        <v>0.125</v>
      </c>
      <c r="D15" t="s">
        <v>1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550</v>
      </c>
      <c r="F15" s="4">
        <f t="shared" si="0"/>
        <v>68.75</v>
      </c>
    </row>
    <row r="16" spans="1:9" x14ac:dyDescent="0.35">
      <c r="B16" t="s">
        <v>102</v>
      </c>
      <c r="C16">
        <v>0.5</v>
      </c>
      <c r="D16" t="s">
        <v>1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733</v>
      </c>
      <c r="F16" s="4">
        <f t="shared" si="0"/>
        <v>366.5</v>
      </c>
      <c r="I16" s="4">
        <f>SUM('BANANA BREAD'!F18,'CHOCOLATE FOIL CAKE'!F20,'RED VELVET FOIL CAKE'!F15,'Foil Cake'!F15)</f>
        <v>500</v>
      </c>
    </row>
    <row r="17" spans="2:6" x14ac:dyDescent="0.35">
      <c r="B17" t="s">
        <v>103</v>
      </c>
      <c r="C17">
        <v>2</v>
      </c>
      <c r="D17" t="s">
        <v>82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200</v>
      </c>
      <c r="F17" s="4">
        <f t="shared" si="0"/>
        <v>400</v>
      </c>
    </row>
    <row r="18" spans="2:6" x14ac:dyDescent="0.35">
      <c r="B18" t="s">
        <v>84</v>
      </c>
      <c r="C18">
        <v>1</v>
      </c>
      <c r="D18" t="s">
        <v>7</v>
      </c>
      <c r="E18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125</v>
      </c>
      <c r="F18" s="4">
        <f t="shared" si="0"/>
        <v>125</v>
      </c>
    </row>
    <row r="19" spans="2:6" x14ac:dyDescent="0.35">
      <c r="B19" t="s">
        <v>105</v>
      </c>
      <c r="C19">
        <v>2</v>
      </c>
      <c r="D19" t="s">
        <v>106</v>
      </c>
      <c r="E19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15</v>
      </c>
      <c r="F19" s="4">
        <f t="shared" si="0"/>
        <v>30</v>
      </c>
    </row>
    <row r="20" spans="2:6" x14ac:dyDescent="0.35">
      <c r="B20" t="s">
        <v>78</v>
      </c>
      <c r="C20">
        <v>0.5</v>
      </c>
      <c r="D20" s="19" t="s">
        <v>1</v>
      </c>
      <c r="E20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2</v>
      </c>
      <c r="F20" s="4">
        <f t="shared" si="0"/>
        <v>0</v>
      </c>
    </row>
    <row r="21" spans="2:6" x14ac:dyDescent="0.35"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B22" t="s">
        <v>107</v>
      </c>
      <c r="C22">
        <v>6</v>
      </c>
      <c r="D22" t="s">
        <v>82</v>
      </c>
      <c r="E22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100</v>
      </c>
      <c r="F22" s="4">
        <f t="shared" si="0"/>
        <v>600</v>
      </c>
    </row>
    <row r="23" spans="2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2475E6-9442-4B90-8FFB-A98E324F89B2}">
          <x14:formula1>
            <xm:f>UNITS!$A$2:$A$9</xm:f>
          </x14:formula1>
          <xm:sqref>D12:D42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4796D-B069-434F-BE1C-81B5127C1B8C}">
  <sheetPr codeName="Sheet3"/>
  <dimension ref="A1:F43"/>
  <sheetViews>
    <sheetView zoomScale="70" zoomScaleNormal="70" workbookViewId="0"/>
  </sheetViews>
  <sheetFormatPr defaultRowHeight="14.5" x14ac:dyDescent="0.35"/>
  <cols>
    <col min="2" max="2" width="27.54296875" customWidth="1"/>
    <col min="3" max="3" width="18.6328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54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MROUND(PRODUCT(SUM(200%,-C3),SUM(Table4[TOTAL COST])),1)</f>
        <v>1781</v>
      </c>
    </row>
    <row r="5" spans="1:6" ht="18.75" customHeight="1" x14ac:dyDescent="0.35">
      <c r="B5" s="7" t="s">
        <v>95</v>
      </c>
      <c r="C5" s="9">
        <v>0.5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7" t="s">
        <v>93</v>
      </c>
      <c r="C7" s="8">
        <f>MROUND(C4/C6,0.01)</f>
        <v>148.42000000000002</v>
      </c>
    </row>
    <row r="8" spans="1:6" ht="18.75" customHeight="1" x14ac:dyDescent="0.35">
      <c r="B8" s="26" t="s">
        <v>59</v>
      </c>
      <c r="C8" s="10">
        <f>IFERROR(MROUND(PRODUCT(C7,SUM(1,C5)),1),"")</f>
        <v>223</v>
      </c>
    </row>
    <row r="9" spans="1:6" ht="18.75" customHeight="1" thickBot="1" x14ac:dyDescent="0.4">
      <c r="B9" s="34" t="s">
        <v>94</v>
      </c>
      <c r="C9" s="35">
        <f>IFERROR((C8-C7)/C8,"")</f>
        <v>0.33443946188340801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29</v>
      </c>
      <c r="C12">
        <v>500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2</v>
      </c>
      <c r="F12" s="4">
        <f>IFERROR(PRODUCT(E12,C12),"")</f>
        <v>1000</v>
      </c>
    </row>
    <row r="13" spans="1:6" x14ac:dyDescent="0.35">
      <c r="B13" t="s">
        <v>43</v>
      </c>
      <c r="C13">
        <v>390</v>
      </c>
      <c r="D13" t="s">
        <v>5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</v>
      </c>
      <c r="F13" s="4">
        <f t="shared" ref="F13:F43" si="0">IFERROR(PRODUCT(E13,C13),"")</f>
        <v>390</v>
      </c>
    </row>
    <row r="14" spans="1:6" x14ac:dyDescent="0.35">
      <c r="B14" t="s">
        <v>44</v>
      </c>
      <c r="C14">
        <v>9</v>
      </c>
      <c r="D14" t="s">
        <v>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15</v>
      </c>
      <c r="F14" s="4">
        <f t="shared" si="0"/>
        <v>135</v>
      </c>
    </row>
    <row r="15" spans="1:6" x14ac:dyDescent="0.35">
      <c r="B15" t="s">
        <v>39</v>
      </c>
      <c r="C15">
        <v>6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</v>
      </c>
      <c r="F15" s="4">
        <f t="shared" si="0"/>
        <v>6</v>
      </c>
    </row>
    <row r="16" spans="1:6" x14ac:dyDescent="0.35">
      <c r="B16" t="s">
        <v>36</v>
      </c>
      <c r="C16">
        <v>3</v>
      </c>
      <c r="D16" t="s">
        <v>7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16</v>
      </c>
      <c r="F16" s="4">
        <f t="shared" si="0"/>
        <v>48</v>
      </c>
    </row>
    <row r="17" spans="2:6" x14ac:dyDescent="0.35">
      <c r="B17" t="s">
        <v>30</v>
      </c>
      <c r="C17">
        <v>1</v>
      </c>
      <c r="D17" t="s">
        <v>6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40</v>
      </c>
      <c r="F17" s="4">
        <f t="shared" si="0"/>
        <v>40</v>
      </c>
    </row>
    <row r="18" spans="2:6" x14ac:dyDescent="0.35">
      <c r="E18" s="4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2:6" x14ac:dyDescent="0.35">
      <c r="E19" s="4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2:6" x14ac:dyDescent="0.35">
      <c r="E20" s="4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s="4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s="4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12A35D-FED6-4119-A887-6D92A9153C30}">
          <x14:formula1>
            <xm:f>UNITS!$A$2:$A$9</xm:f>
          </x14:formula1>
          <xm:sqref>D12:D43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58859-41C6-4205-AE86-EF53AD45B026}">
  <sheetPr codeName="Sheet6"/>
  <dimension ref="A1:F42"/>
  <sheetViews>
    <sheetView zoomScale="70" zoomScaleNormal="70" workbookViewId="0"/>
  </sheetViews>
  <sheetFormatPr defaultRowHeight="14.5" x14ac:dyDescent="0.35"/>
  <cols>
    <col min="2" max="2" width="27.54296875" customWidth="1"/>
    <col min="3" max="3" width="18.6328125" customWidth="1"/>
    <col min="4" max="4" width="30.81640625" customWidth="1"/>
    <col min="5" max="5" width="42.6328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63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MROUND(PRODUCT(SUM(200%,-C3),SUM(Table47[TOTAL COST])),1)</f>
        <v>2660</v>
      </c>
    </row>
    <row r="5" spans="1:6" ht="18.75" customHeight="1" x14ac:dyDescent="0.35">
      <c r="B5" s="7" t="s">
        <v>95</v>
      </c>
      <c r="C5" s="9">
        <v>1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22" t="s">
        <v>93</v>
      </c>
      <c r="C7" s="23">
        <f>MROUND(C4/C6,0.01)</f>
        <v>221.67000000000002</v>
      </c>
    </row>
    <row r="8" spans="1:6" ht="18.75" customHeight="1" x14ac:dyDescent="0.35">
      <c r="B8" s="26" t="s">
        <v>59</v>
      </c>
      <c r="C8" s="10">
        <f>IFERROR(MROUND(PRODUCT(C7,SUM(1,C5)),1),"")</f>
        <v>443</v>
      </c>
    </row>
    <row r="9" spans="1:6" ht="18.75" customHeight="1" thickBot="1" x14ac:dyDescent="0.4">
      <c r="B9" s="29" t="s">
        <v>94</v>
      </c>
      <c r="C9" s="27">
        <f>IFERROR((C8-C7)/C8,"")</f>
        <v>0.49961625282167038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ht="15.5" x14ac:dyDescent="0.35">
      <c r="B12" s="13" t="s">
        <v>19</v>
      </c>
      <c r="C12">
        <v>200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4</v>
      </c>
      <c r="F12" s="4">
        <f t="shared" ref="F12:F42" si="0">IFERROR(PRODUCT(E12,C12),"")</f>
        <v>800</v>
      </c>
    </row>
    <row r="13" spans="1:6" ht="15.5" x14ac:dyDescent="0.35">
      <c r="B13" s="13" t="s">
        <v>40</v>
      </c>
      <c r="C13">
        <v>150</v>
      </c>
      <c r="D13" t="s">
        <v>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si="0"/>
        <v>300</v>
      </c>
    </row>
    <row r="14" spans="1:6" ht="15.5" x14ac:dyDescent="0.35">
      <c r="B14" s="13" t="s">
        <v>24</v>
      </c>
      <c r="C14">
        <v>25</v>
      </c>
      <c r="D14" t="s">
        <v>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8</v>
      </c>
      <c r="F14" s="4">
        <f t="shared" si="0"/>
        <v>200</v>
      </c>
    </row>
    <row r="15" spans="1:6" ht="15.5" x14ac:dyDescent="0.35">
      <c r="B15" s="13" t="s">
        <v>26</v>
      </c>
      <c r="C15">
        <v>2</v>
      </c>
      <c r="D15" t="s">
        <v>8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200</v>
      </c>
      <c r="F15" s="4">
        <f t="shared" si="0"/>
        <v>400</v>
      </c>
    </row>
    <row r="16" spans="1:6" ht="15.5" x14ac:dyDescent="0.35">
      <c r="B16" s="13" t="s">
        <v>28</v>
      </c>
      <c r="C16">
        <v>1</v>
      </c>
      <c r="D16" t="s">
        <v>6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375</v>
      </c>
      <c r="F16" s="4">
        <f t="shared" si="0"/>
        <v>375</v>
      </c>
    </row>
    <row r="17" spans="2:6" ht="15.5" x14ac:dyDescent="0.35">
      <c r="B17" s="13" t="s">
        <v>39</v>
      </c>
      <c r="C17">
        <v>1</v>
      </c>
      <c r="D17" t="s">
        <v>7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3</v>
      </c>
      <c r="F17" s="4">
        <f t="shared" si="0"/>
        <v>3</v>
      </c>
    </row>
    <row r="18" spans="2:6" ht="15.5" x14ac:dyDescent="0.35">
      <c r="B18" s="13" t="s">
        <v>29</v>
      </c>
      <c r="C18">
        <v>120</v>
      </c>
      <c r="D18" t="s">
        <v>2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2</v>
      </c>
      <c r="F18" s="4">
        <f t="shared" si="0"/>
        <v>240</v>
      </c>
    </row>
    <row r="19" spans="2:6" ht="15.5" x14ac:dyDescent="0.35">
      <c r="B19" s="13" t="s">
        <v>64</v>
      </c>
      <c r="C19">
        <v>100</v>
      </c>
      <c r="D19" t="s">
        <v>2</v>
      </c>
      <c r="E19" s="4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Ingredient NOT found</v>
      </c>
      <c r="F19" s="4">
        <f t="shared" si="0"/>
        <v>100</v>
      </c>
    </row>
    <row r="20" spans="2:6" x14ac:dyDescent="0.35">
      <c r="E20" s="4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>IFERROR(PRODUCT(E39,C39),"")</f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s="4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B4C624-56BC-42E1-BEEF-E28FEDC46E8D}">
          <x14:formula1>
            <xm:f>UNITS!$A$2:$A$9</xm:f>
          </x14:formula1>
          <xm:sqref>D12:D42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0CB23-9261-4B3B-A375-BFA4ABFAA989}">
  <sheetPr codeName="Sheet7"/>
  <dimension ref="A1:F26"/>
  <sheetViews>
    <sheetView topLeftCell="A2" zoomScale="70" zoomScaleNormal="70" workbookViewId="0">
      <selection activeCell="D12" sqref="D12"/>
    </sheetView>
  </sheetViews>
  <sheetFormatPr defaultRowHeight="14.5" x14ac:dyDescent="0.35"/>
  <cols>
    <col min="2" max="2" width="27.54296875" customWidth="1"/>
    <col min="3" max="3" width="18.4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4" t="s">
        <v>65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MROUND(PRODUCT(SUM(200%,-C3),SUM(Table478[TOTAL COST])),1)</f>
        <v>6552</v>
      </c>
    </row>
    <row r="5" spans="1:6" ht="18.75" customHeight="1" x14ac:dyDescent="0.35">
      <c r="B5" s="7" t="s">
        <v>95</v>
      </c>
      <c r="C5" s="9">
        <v>1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22" t="s">
        <v>93</v>
      </c>
      <c r="C7" s="23">
        <f>MROUND(C4/C6,0.01)</f>
        <v>546</v>
      </c>
    </row>
    <row r="8" spans="1:6" ht="18.5" customHeight="1" x14ac:dyDescent="0.35">
      <c r="B8" s="26" t="s">
        <v>59</v>
      </c>
      <c r="C8" s="10">
        <f>IFERROR(MROUND(PRODUCT(C7,SUM(1,C5)),1),"")</f>
        <v>1092</v>
      </c>
    </row>
    <row r="9" spans="1:6" ht="18.75" customHeight="1" thickBot="1" x14ac:dyDescent="0.4">
      <c r="B9" s="29" t="s">
        <v>94</v>
      </c>
      <c r="C9" s="35">
        <f>IFERROR((C8-C7)/C8,"")</f>
        <v>0.5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35</v>
      </c>
      <c r="C12">
        <v>180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8</v>
      </c>
      <c r="F12" s="4">
        <f>IFERROR(PRODUCT(E12,C12),"")</f>
        <v>1440</v>
      </c>
    </row>
    <row r="13" spans="1:6" x14ac:dyDescent="0.35">
      <c r="B13" t="s">
        <v>40</v>
      </c>
      <c r="C13">
        <v>50</v>
      </c>
      <c r="D13" t="s">
        <v>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ref="F13:F25" si="0">IFERROR(PRODUCT(E13,C13),"")</f>
        <v>100</v>
      </c>
    </row>
    <row r="14" spans="1:6" x14ac:dyDescent="0.35">
      <c r="B14" t="s">
        <v>44</v>
      </c>
      <c r="C14">
        <v>7</v>
      </c>
      <c r="D14" t="s">
        <v>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15</v>
      </c>
      <c r="F14" s="4">
        <f t="shared" si="0"/>
        <v>105</v>
      </c>
    </row>
    <row r="15" spans="1:6" x14ac:dyDescent="0.35">
      <c r="B15" t="s">
        <v>29</v>
      </c>
      <c r="C15">
        <v>450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900</v>
      </c>
    </row>
    <row r="16" spans="1:6" x14ac:dyDescent="0.35">
      <c r="B16" t="s">
        <v>18</v>
      </c>
      <c r="C16">
        <v>55</v>
      </c>
      <c r="D16" t="s">
        <v>2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5</v>
      </c>
      <c r="F16" s="4">
        <f t="shared" si="0"/>
        <v>275</v>
      </c>
    </row>
    <row r="17" spans="2:6" x14ac:dyDescent="0.35">
      <c r="B17" t="s">
        <v>36</v>
      </c>
      <c r="C17">
        <v>6</v>
      </c>
      <c r="D17" t="s">
        <v>6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46</v>
      </c>
      <c r="F17" s="4">
        <f t="shared" si="0"/>
        <v>276</v>
      </c>
    </row>
    <row r="18" spans="2:6" x14ac:dyDescent="0.35">
      <c r="B18" t="s">
        <v>26</v>
      </c>
      <c r="C18">
        <v>1</v>
      </c>
      <c r="D18" t="s">
        <v>8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200</v>
      </c>
      <c r="F18" s="4">
        <f t="shared" si="0"/>
        <v>200</v>
      </c>
    </row>
    <row r="19" spans="2:6" x14ac:dyDescent="0.35">
      <c r="B19" t="s">
        <v>28</v>
      </c>
      <c r="C19">
        <v>2</v>
      </c>
      <c r="D19" t="s">
        <v>6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375</v>
      </c>
      <c r="F19" s="4">
        <f t="shared" si="0"/>
        <v>750</v>
      </c>
    </row>
    <row r="20" spans="2:6" x14ac:dyDescent="0.35">
      <c r="B20" t="s">
        <v>39</v>
      </c>
      <c r="C20">
        <v>1</v>
      </c>
      <c r="D20" t="s">
        <v>7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3</v>
      </c>
      <c r="F20" s="4">
        <f t="shared" si="0"/>
        <v>3</v>
      </c>
    </row>
    <row r="21" spans="2:6" x14ac:dyDescent="0.35">
      <c r="B21" t="s">
        <v>23</v>
      </c>
      <c r="C21">
        <v>1</v>
      </c>
      <c r="D21" t="s">
        <v>8</v>
      </c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Ingredient NOT found</v>
      </c>
      <c r="F21" s="4">
        <f t="shared" si="0"/>
        <v>1</v>
      </c>
    </row>
    <row r="22" spans="2:6" x14ac:dyDescent="0.35">
      <c r="B22" t="s">
        <v>19</v>
      </c>
      <c r="C22">
        <v>57</v>
      </c>
      <c r="D22" t="s">
        <v>2</v>
      </c>
      <c r="E22" s="4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4</v>
      </c>
      <c r="F22" s="4">
        <f t="shared" si="0"/>
        <v>228</v>
      </c>
    </row>
    <row r="23" spans="2:6" x14ac:dyDescent="0.35">
      <c r="B23" t="s">
        <v>40</v>
      </c>
      <c r="C23">
        <v>73</v>
      </c>
      <c r="D23" t="s">
        <v>2</v>
      </c>
      <c r="E23" s="4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2</v>
      </c>
      <c r="F23" s="4">
        <f t="shared" si="0"/>
        <v>146</v>
      </c>
    </row>
    <row r="24" spans="2:6" x14ac:dyDescent="0.35">
      <c r="B24" t="s">
        <v>40</v>
      </c>
      <c r="C24">
        <v>240</v>
      </c>
      <c r="D24" t="s">
        <v>2</v>
      </c>
      <c r="E24" s="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2</v>
      </c>
      <c r="F24" s="4">
        <f t="shared" si="0"/>
        <v>480</v>
      </c>
    </row>
    <row r="25" spans="2:6" x14ac:dyDescent="0.35">
      <c r="B25" t="s">
        <v>35</v>
      </c>
      <c r="C25">
        <v>120</v>
      </c>
      <c r="D25" t="s">
        <v>2</v>
      </c>
      <c r="E25" s="4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>8</v>
      </c>
      <c r="F25" s="4">
        <f t="shared" si="0"/>
        <v>960</v>
      </c>
    </row>
    <row r="26" spans="2:6" x14ac:dyDescent="0.35">
      <c r="B26" t="s">
        <v>36</v>
      </c>
      <c r="C26">
        <v>2</v>
      </c>
      <c r="D26" t="s">
        <v>6</v>
      </c>
      <c r="E26" s="4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>46</v>
      </c>
      <c r="F26" s="4">
        <f>IFERROR(PRODUCT(E26,C26),"")</f>
        <v>92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0F85AE-C252-48D4-842F-BFE01B1861BD}">
          <x14:formula1>
            <xm:f>UNITS!$A$2:$A$9</xm:f>
          </x14:formula1>
          <xm:sqref>D12:D26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58BA4-CD2B-4C27-92E7-4A296157ED31}">
  <sheetPr codeName="Sheet8"/>
  <dimension ref="A1:F26"/>
  <sheetViews>
    <sheetView zoomScale="70" zoomScaleNormal="70" workbookViewId="0"/>
  </sheetViews>
  <sheetFormatPr defaultRowHeight="14.5" x14ac:dyDescent="0.35"/>
  <cols>
    <col min="2" max="2" width="27.54296875" customWidth="1"/>
    <col min="3" max="3" width="18.6328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67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MROUND(PRODUCT(SUM(200%,-C3),SUM(Table4783[TOTAL COST])),1)</f>
        <v>6676</v>
      </c>
    </row>
    <row r="5" spans="1:6" ht="18.75" customHeight="1" x14ac:dyDescent="0.35">
      <c r="B5" s="7" t="s">
        <v>94</v>
      </c>
      <c r="C5" s="9">
        <v>1.5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7" t="s">
        <v>93</v>
      </c>
      <c r="C7" s="8">
        <f>MROUND(C4/C6,0.01)</f>
        <v>556.33000000000004</v>
      </c>
    </row>
    <row r="8" spans="1:6" ht="18.75" customHeight="1" x14ac:dyDescent="0.35">
      <c r="B8" s="26" t="s">
        <v>59</v>
      </c>
      <c r="C8" s="10">
        <f>IFERROR(MROUND(PRODUCT(C7,SUM(1,C5)),1),"")</f>
        <v>1391</v>
      </c>
    </row>
    <row r="9" spans="1:6" ht="18.75" customHeight="1" thickBot="1" x14ac:dyDescent="0.4">
      <c r="B9" s="34" t="s">
        <v>94</v>
      </c>
      <c r="C9" s="35">
        <f>IFERROR((C8-C7)/C8,"")</f>
        <v>0.60005032350826737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s="21" t="s">
        <v>29</v>
      </c>
      <c r="C12">
        <v>500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2</v>
      </c>
      <c r="F12" s="4">
        <f>IFERROR(PRODUCT(E12,C12),"")</f>
        <v>1000</v>
      </c>
    </row>
    <row r="13" spans="1:6" x14ac:dyDescent="0.35">
      <c r="B13" s="21" t="s">
        <v>19</v>
      </c>
      <c r="C13">
        <v>130</v>
      </c>
      <c r="D13" t="s">
        <v>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4</v>
      </c>
      <c r="F13" s="4">
        <f t="shared" ref="F13:F25" si="0">IFERROR(PRODUCT(E13,C13),"")</f>
        <v>520</v>
      </c>
    </row>
    <row r="14" spans="1:6" x14ac:dyDescent="0.35">
      <c r="B14" s="21" t="s">
        <v>39</v>
      </c>
      <c r="C14">
        <v>1</v>
      </c>
      <c r="D14" t="s">
        <v>7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</v>
      </c>
      <c r="F14" s="4">
        <f t="shared" si="0"/>
        <v>3</v>
      </c>
    </row>
    <row r="15" spans="1:6" x14ac:dyDescent="0.35">
      <c r="B15" s="21" t="s">
        <v>43</v>
      </c>
      <c r="C15">
        <v>0.5</v>
      </c>
      <c r="D15" t="s">
        <v>1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1</v>
      </c>
    </row>
    <row r="16" spans="1:6" x14ac:dyDescent="0.35">
      <c r="B16" s="21" t="s">
        <v>16</v>
      </c>
      <c r="C16">
        <v>500</v>
      </c>
      <c r="D16" t="s">
        <v>2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8</v>
      </c>
      <c r="F16" s="4">
        <f t="shared" si="0"/>
        <v>4000</v>
      </c>
    </row>
    <row r="17" spans="2:6" x14ac:dyDescent="0.35">
      <c r="B17" s="21" t="s">
        <v>37</v>
      </c>
      <c r="C17">
        <v>250</v>
      </c>
      <c r="D17" t="s">
        <v>2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</v>
      </c>
      <c r="F17" s="4">
        <f t="shared" si="0"/>
        <v>500</v>
      </c>
    </row>
    <row r="18" spans="2:6" x14ac:dyDescent="0.35">
      <c r="B18" t="s">
        <v>29</v>
      </c>
      <c r="C18">
        <v>0.25</v>
      </c>
      <c r="D18" t="s">
        <v>1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175</v>
      </c>
      <c r="F18" s="4">
        <f t="shared" si="0"/>
        <v>43.75</v>
      </c>
    </row>
    <row r="19" spans="2:6" x14ac:dyDescent="0.35">
      <c r="B19" t="s">
        <v>43</v>
      </c>
      <c r="C19">
        <v>0.75</v>
      </c>
      <c r="D19" t="s">
        <v>1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2</v>
      </c>
      <c r="F19" s="4">
        <f t="shared" si="0"/>
        <v>1.5</v>
      </c>
    </row>
    <row r="20" spans="2:6" x14ac:dyDescent="0.35">
      <c r="B20" t="s">
        <v>26</v>
      </c>
      <c r="C20">
        <v>0</v>
      </c>
      <c r="D20" t="s">
        <v>8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200</v>
      </c>
      <c r="F20" s="4">
        <f t="shared" si="0"/>
        <v>0</v>
      </c>
    </row>
    <row r="21" spans="2:6" x14ac:dyDescent="0.35"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B22" s="15"/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B24" s="15"/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>IFERROR(PRODUCT(E24,C24),"")</f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B26" s="15"/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>IFERROR(PRODUCT(E26,C26),"")</f>
        <v>0</v>
      </c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D43960-84C2-44FB-9593-664857E8965A}">
          <x14:formula1>
            <xm:f>UNITS!$A$2:$A$9</xm:f>
          </x14:formula1>
          <xm:sqref>D12:D26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EBAF-6C4A-4C3D-9D5C-19C7E317F6F6}">
  <sheetPr codeName="Sheet9"/>
  <dimension ref="A1:F30"/>
  <sheetViews>
    <sheetView topLeftCell="A6" zoomScale="70" zoomScaleNormal="70" workbookViewId="0">
      <selection activeCell="E28" sqref="E28"/>
    </sheetView>
  </sheetViews>
  <sheetFormatPr defaultRowHeight="14.5" x14ac:dyDescent="0.35"/>
  <cols>
    <col min="2" max="2" width="27.54296875" customWidth="1"/>
    <col min="3" max="3" width="18.72656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68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MROUND(PRODUCT(SUM(200%,-C3),SUM(Table47834[TOTAL COST])),1)</f>
        <v>4668</v>
      </c>
    </row>
    <row r="5" spans="1:6" ht="18.75" customHeight="1" x14ac:dyDescent="0.35">
      <c r="B5" s="7" t="s">
        <v>94</v>
      </c>
      <c r="C5" s="9">
        <v>0.5</v>
      </c>
    </row>
    <row r="6" spans="1:6" ht="18.75" customHeight="1" x14ac:dyDescent="0.35">
      <c r="B6" s="7" t="s">
        <v>58</v>
      </c>
      <c r="C6" s="8">
        <v>9</v>
      </c>
    </row>
    <row r="7" spans="1:6" ht="18.75" customHeight="1" x14ac:dyDescent="0.35">
      <c r="B7" s="7" t="s">
        <v>93</v>
      </c>
      <c r="C7" s="8">
        <f>MROUND(C4/C6,0.01)</f>
        <v>518.66999999999996</v>
      </c>
    </row>
    <row r="8" spans="1:6" ht="18.75" customHeight="1" x14ac:dyDescent="0.35">
      <c r="B8" s="26" t="s">
        <v>59</v>
      </c>
      <c r="C8" s="10">
        <f>IFERROR(MROUND(PRODUCT(C7,SUM(1,C5)),1),"")</f>
        <v>778</v>
      </c>
    </row>
    <row r="9" spans="1:6" ht="18.75" customHeight="1" thickBot="1" x14ac:dyDescent="0.4">
      <c r="B9" s="34" t="s">
        <v>94</v>
      </c>
      <c r="C9" s="35">
        <f>IFERROR((C8-C7)/C8,"")</f>
        <v>0.3333290488431877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18</v>
      </c>
      <c r="C12">
        <v>100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5</v>
      </c>
      <c r="F12" s="4">
        <f>IFERROR(PRODUCT(E12,C12),"")</f>
        <v>500</v>
      </c>
    </row>
    <row r="13" spans="1:6" x14ac:dyDescent="0.35">
      <c r="B13" t="s">
        <v>29</v>
      </c>
      <c r="C13">
        <v>30</v>
      </c>
      <c r="D13" t="s">
        <v>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ref="F13:F25" si="0">IFERROR(PRODUCT(E13,C13),"")</f>
        <v>60</v>
      </c>
    </row>
    <row r="14" spans="1:6" x14ac:dyDescent="0.35">
      <c r="B14" t="s">
        <v>23</v>
      </c>
      <c r="C14">
        <v>1</v>
      </c>
      <c r="D14" t="s">
        <v>8</v>
      </c>
      <c r="E14" s="4" t="str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Ingredient NOT found</v>
      </c>
      <c r="F14" s="4">
        <f t="shared" si="0"/>
        <v>1</v>
      </c>
    </row>
    <row r="15" spans="1:6" x14ac:dyDescent="0.35">
      <c r="B15" t="s">
        <v>29</v>
      </c>
      <c r="C15">
        <v>90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180</v>
      </c>
    </row>
    <row r="16" spans="1:6" x14ac:dyDescent="0.35">
      <c r="B16" t="s">
        <v>18</v>
      </c>
      <c r="C16">
        <v>50</v>
      </c>
      <c r="D16" t="s">
        <v>2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5</v>
      </c>
      <c r="F16" s="4">
        <f t="shared" si="0"/>
        <v>250</v>
      </c>
    </row>
    <row r="17" spans="2:6" x14ac:dyDescent="0.35">
      <c r="B17" t="s">
        <v>23</v>
      </c>
      <c r="C17">
        <v>1</v>
      </c>
      <c r="D17" t="s">
        <v>8</v>
      </c>
      <c r="E17" s="4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Ingredient NOT found</v>
      </c>
      <c r="F17" s="4">
        <f t="shared" si="0"/>
        <v>1</v>
      </c>
    </row>
    <row r="18" spans="2:6" x14ac:dyDescent="0.35">
      <c r="B18" t="s">
        <v>39</v>
      </c>
      <c r="C18">
        <v>0.25</v>
      </c>
      <c r="D18" t="s">
        <v>7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3</v>
      </c>
      <c r="F18" s="4">
        <f t="shared" si="0"/>
        <v>0.75</v>
      </c>
    </row>
    <row r="19" spans="2:6" x14ac:dyDescent="0.35">
      <c r="B19" t="s">
        <v>19</v>
      </c>
      <c r="C19">
        <v>85</v>
      </c>
      <c r="D19" t="s">
        <v>2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4</v>
      </c>
      <c r="F19" s="4">
        <f t="shared" si="0"/>
        <v>340</v>
      </c>
    </row>
    <row r="20" spans="2:6" x14ac:dyDescent="0.35">
      <c r="B20" t="s">
        <v>29</v>
      </c>
      <c r="C20">
        <v>210</v>
      </c>
      <c r="D20" t="s">
        <v>2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2</v>
      </c>
      <c r="F20" s="4">
        <f t="shared" si="0"/>
        <v>420</v>
      </c>
    </row>
    <row r="21" spans="2:6" x14ac:dyDescent="0.35">
      <c r="B21" t="s">
        <v>14</v>
      </c>
      <c r="C21">
        <v>2</v>
      </c>
      <c r="D21" t="s">
        <v>7</v>
      </c>
      <c r="E21" s="4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15</v>
      </c>
      <c r="F21" s="4">
        <f t="shared" si="0"/>
        <v>30</v>
      </c>
    </row>
    <row r="22" spans="2:6" x14ac:dyDescent="0.35">
      <c r="B22" t="s">
        <v>39</v>
      </c>
      <c r="C22">
        <v>0.75</v>
      </c>
      <c r="D22" t="s">
        <v>7</v>
      </c>
      <c r="E22" s="4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3</v>
      </c>
      <c r="F22" s="4">
        <f t="shared" si="0"/>
        <v>2.25</v>
      </c>
    </row>
    <row r="23" spans="2:6" x14ac:dyDescent="0.35">
      <c r="B23" t="s">
        <v>19</v>
      </c>
      <c r="C23">
        <v>142</v>
      </c>
      <c r="D23" t="s">
        <v>2</v>
      </c>
      <c r="E23" s="4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4</v>
      </c>
      <c r="F23" s="4">
        <f t="shared" si="0"/>
        <v>568</v>
      </c>
    </row>
    <row r="24" spans="2:6" x14ac:dyDescent="0.35">
      <c r="B24" t="s">
        <v>40</v>
      </c>
      <c r="C24">
        <v>50</v>
      </c>
      <c r="D24" t="s">
        <v>2</v>
      </c>
      <c r="E24" s="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2</v>
      </c>
      <c r="F24" s="4">
        <f>IFERROR(PRODUCT(E24,C24),"")</f>
        <v>100</v>
      </c>
    </row>
    <row r="25" spans="2:6" x14ac:dyDescent="0.35">
      <c r="B25" t="s">
        <v>18</v>
      </c>
      <c r="C25">
        <v>55</v>
      </c>
      <c r="D25" t="s">
        <v>2</v>
      </c>
      <c r="E25" s="4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>5</v>
      </c>
      <c r="F25" s="4">
        <f t="shared" si="0"/>
        <v>275</v>
      </c>
    </row>
    <row r="26" spans="2:6" ht="15.75" customHeight="1" x14ac:dyDescent="0.35">
      <c r="B26" t="s">
        <v>26</v>
      </c>
      <c r="C26">
        <v>2</v>
      </c>
      <c r="D26" t="s">
        <v>8</v>
      </c>
      <c r="E26" s="4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>200</v>
      </c>
      <c r="F26" s="4">
        <f t="shared" ref="F26:F30" si="1">IFERROR(PRODUCT(E26,C26),"")</f>
        <v>400</v>
      </c>
    </row>
    <row r="27" spans="2:6" x14ac:dyDescent="0.35">
      <c r="B27" t="s">
        <v>28</v>
      </c>
      <c r="C27">
        <v>2</v>
      </c>
      <c r="D27" t="s">
        <v>6</v>
      </c>
      <c r="E27" s="4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>375</v>
      </c>
      <c r="F27" s="4">
        <f t="shared" si="1"/>
        <v>750</v>
      </c>
    </row>
    <row r="28" spans="2:6" x14ac:dyDescent="0.35">
      <c r="B28" t="s">
        <v>40</v>
      </c>
      <c r="C28">
        <v>120</v>
      </c>
      <c r="D28" t="s">
        <v>2</v>
      </c>
      <c r="E28" s="4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>2</v>
      </c>
      <c r="F28" s="4">
        <f t="shared" si="1"/>
        <v>240</v>
      </c>
    </row>
    <row r="29" spans="2:6" x14ac:dyDescent="0.35">
      <c r="B29" t="s">
        <v>35</v>
      </c>
      <c r="C29">
        <v>2</v>
      </c>
      <c r="D29" t="s">
        <v>6</v>
      </c>
      <c r="E29" s="4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>63</v>
      </c>
      <c r="F29" s="4">
        <f t="shared" si="1"/>
        <v>126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1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4CCAFB-AF22-4096-AF34-594275F86A1C}">
          <x14:formula1>
            <xm:f>UNITS!$A$2:$A$9</xm:f>
          </x14:formula1>
          <xm:sqref>D12:D30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760CB-0A2A-461D-AD7C-62EE1EB1C81F}">
  <sheetPr codeName="Sheet10"/>
  <dimension ref="A1:F42"/>
  <sheetViews>
    <sheetView topLeftCell="A3" zoomScale="70" zoomScaleNormal="70" workbookViewId="0">
      <selection activeCell="D14" sqref="D14"/>
    </sheetView>
  </sheetViews>
  <sheetFormatPr defaultRowHeight="14.5" x14ac:dyDescent="0.35"/>
  <cols>
    <col min="2" max="2" width="27.54296875" customWidth="1"/>
    <col min="3" max="3" width="18.5429687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69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MROUND(PRODUCT(SUM(200%,-C3),SUM(Table47834910[TOTAL COST])),1)</f>
        <v>2201</v>
      </c>
    </row>
    <row r="5" spans="1:6" ht="18.75" customHeight="1" x14ac:dyDescent="0.35">
      <c r="B5" s="7" t="s">
        <v>94</v>
      </c>
      <c r="C5" s="9">
        <v>0.55000000000000004</v>
      </c>
    </row>
    <row r="6" spans="1:6" ht="18.75" customHeight="1" x14ac:dyDescent="0.35">
      <c r="B6" s="7" t="s">
        <v>58</v>
      </c>
      <c r="C6" s="8">
        <v>15</v>
      </c>
    </row>
    <row r="7" spans="1:6" ht="18.75" customHeight="1" x14ac:dyDescent="0.35">
      <c r="B7" s="7" t="s">
        <v>93</v>
      </c>
      <c r="C7" s="8">
        <f>MROUND(C4/C6,0.01)</f>
        <v>146.72999999999999</v>
      </c>
    </row>
    <row r="8" spans="1:6" ht="18.75" customHeight="1" x14ac:dyDescent="0.35">
      <c r="B8" s="26" t="s">
        <v>59</v>
      </c>
      <c r="C8" s="10">
        <f>IFERROR(MROUND(PRODUCT(C7,SUM(1,C5)),1),"")</f>
        <v>227</v>
      </c>
    </row>
    <row r="9" spans="1:6" ht="18.75" customHeight="1" thickBot="1" x14ac:dyDescent="0.4">
      <c r="B9" s="34" t="s">
        <v>94</v>
      </c>
      <c r="C9" s="35">
        <f>IFERROR((C8-C7)/C8,"")</f>
        <v>0.35361233480176218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ht="15.5" x14ac:dyDescent="0.35">
      <c r="B12" s="13" t="s">
        <v>19</v>
      </c>
      <c r="C12">
        <v>100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4</v>
      </c>
      <c r="F12" s="4">
        <f>IFERROR(PRODUCT(E12,C12),"")</f>
        <v>400</v>
      </c>
    </row>
    <row r="13" spans="1:6" ht="15.5" x14ac:dyDescent="0.35">
      <c r="B13" s="13" t="s">
        <v>36</v>
      </c>
      <c r="C13">
        <v>20</v>
      </c>
      <c r="D13" t="s">
        <v>70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3</v>
      </c>
      <c r="F13" s="4">
        <f t="shared" ref="F13:F42" si="0">IFERROR(PRODUCT(E13,C13),"")</f>
        <v>60</v>
      </c>
    </row>
    <row r="14" spans="1:6" ht="15.5" x14ac:dyDescent="0.35">
      <c r="B14" s="13" t="s">
        <v>28</v>
      </c>
      <c r="C14">
        <v>1</v>
      </c>
      <c r="D14" t="s">
        <v>6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375</v>
      </c>
      <c r="F14" s="4">
        <f t="shared" si="0"/>
        <v>375</v>
      </c>
    </row>
    <row r="15" spans="1:6" ht="15.5" x14ac:dyDescent="0.35">
      <c r="B15" s="13" t="s">
        <v>40</v>
      </c>
      <c r="C15">
        <v>150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300</v>
      </c>
    </row>
    <row r="16" spans="1:6" ht="15.5" x14ac:dyDescent="0.35">
      <c r="B16" s="13" t="s">
        <v>26</v>
      </c>
      <c r="C16">
        <v>2</v>
      </c>
      <c r="D16" t="s">
        <v>8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200</v>
      </c>
      <c r="F16" s="4">
        <f t="shared" si="0"/>
        <v>400</v>
      </c>
    </row>
    <row r="17" spans="2:6" ht="15.5" x14ac:dyDescent="0.35">
      <c r="B17" s="13" t="s">
        <v>29</v>
      </c>
      <c r="C17">
        <v>210</v>
      </c>
      <c r="D17" t="s">
        <v>2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</v>
      </c>
      <c r="F17" s="4">
        <f t="shared" si="0"/>
        <v>420</v>
      </c>
    </row>
    <row r="18" spans="2:6" ht="15.5" x14ac:dyDescent="0.35">
      <c r="B18" s="13" t="s">
        <v>14</v>
      </c>
      <c r="C18">
        <v>3</v>
      </c>
      <c r="D18" t="s">
        <v>7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15</v>
      </c>
      <c r="F18" s="4">
        <f t="shared" si="0"/>
        <v>45</v>
      </c>
    </row>
    <row r="19" spans="2:6" ht="15.5" x14ac:dyDescent="0.35">
      <c r="B19" s="13" t="s">
        <v>39</v>
      </c>
      <c r="C19">
        <v>0.25</v>
      </c>
      <c r="D19" t="s">
        <v>7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3</v>
      </c>
      <c r="F19" s="4">
        <f t="shared" si="0"/>
        <v>0.75</v>
      </c>
    </row>
    <row r="20" spans="2:6" ht="15.5" x14ac:dyDescent="0.35">
      <c r="B20" s="13"/>
      <c r="E20" s="4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ht="15.5" x14ac:dyDescent="0.35">
      <c r="B21" s="13"/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>IFERROR(PRODUCT(E39,C39),"")</f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s="4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AFBF7D-991D-4709-B858-39E41E22B70C}">
          <x14:formula1>
            <xm:f>UNITS!$A$2:$A$9</xm:f>
          </x14:formula1>
          <xm:sqref>D12:D42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F47CE-B076-4138-A698-89CE70570564}">
  <sheetPr codeName="Sheet11"/>
  <dimension ref="A1:F38"/>
  <sheetViews>
    <sheetView topLeftCell="A6" zoomScale="70" zoomScaleNormal="70" workbookViewId="0">
      <selection activeCell="C6" sqref="C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71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MROUND(PRODUCT(SUM(200%,-C3),SUM(Table47834911[TOTAL COST])),1)</f>
        <v>10530</v>
      </c>
    </row>
    <row r="5" spans="1:6" ht="18.75" customHeight="1" x14ac:dyDescent="0.35">
      <c r="B5" s="7" t="s">
        <v>57</v>
      </c>
      <c r="C5" s="9">
        <v>1</v>
      </c>
    </row>
    <row r="6" spans="1:6" ht="18.75" customHeight="1" x14ac:dyDescent="0.35">
      <c r="B6" s="7" t="s">
        <v>58</v>
      </c>
      <c r="C6" s="8">
        <v>16</v>
      </c>
    </row>
    <row r="7" spans="1:6" ht="18.75" customHeight="1" x14ac:dyDescent="0.35">
      <c r="B7" s="7" t="s">
        <v>93</v>
      </c>
      <c r="C7" s="8">
        <f>MROUND(C4/C6,0.01)</f>
        <v>658.13</v>
      </c>
    </row>
    <row r="8" spans="1:6" ht="18.75" customHeight="1" x14ac:dyDescent="0.35">
      <c r="B8" s="26" t="s">
        <v>59</v>
      </c>
      <c r="C8" s="10">
        <f>IFERROR(MROUND(PRODUCT(C7,SUM(1,C5)),1),"")</f>
        <v>1316</v>
      </c>
    </row>
    <row r="9" spans="1:6" ht="18.75" customHeight="1" thickBot="1" x14ac:dyDescent="0.4">
      <c r="B9" s="34" t="s">
        <v>94</v>
      </c>
      <c r="C9" s="35">
        <f>IFERROR((C8-C7)/C8,"")</f>
        <v>0.49990121580547114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29</v>
      </c>
      <c r="C12">
        <v>120</v>
      </c>
      <c r="D12" t="s">
        <v>72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2</v>
      </c>
      <c r="F12" s="4">
        <f>IFERROR(PRODUCT(E12,C12),"")</f>
        <v>240</v>
      </c>
    </row>
    <row r="13" spans="1:6" x14ac:dyDescent="0.35">
      <c r="B13" t="s">
        <v>35</v>
      </c>
      <c r="C13">
        <v>120</v>
      </c>
      <c r="D13" t="s">
        <v>72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8</v>
      </c>
      <c r="F13" s="4">
        <f t="shared" ref="F13:F38" si="0">IFERROR(PRODUCT(E13,C13),"")</f>
        <v>960</v>
      </c>
    </row>
    <row r="14" spans="1:6" x14ac:dyDescent="0.35">
      <c r="B14" t="s">
        <v>44</v>
      </c>
      <c r="C14">
        <v>15</v>
      </c>
      <c r="D14" t="s">
        <v>72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15</v>
      </c>
      <c r="F14" s="4">
        <f t="shared" si="0"/>
        <v>225</v>
      </c>
    </row>
    <row r="15" spans="1:6" x14ac:dyDescent="0.35">
      <c r="B15" t="s">
        <v>29</v>
      </c>
      <c r="C15">
        <v>240</v>
      </c>
      <c r="D15" t="s">
        <v>72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480</v>
      </c>
    </row>
    <row r="16" spans="1:6" x14ac:dyDescent="0.35">
      <c r="B16" t="s">
        <v>40</v>
      </c>
      <c r="C16">
        <v>30</v>
      </c>
      <c r="D16" t="s">
        <v>72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2</v>
      </c>
      <c r="F16" s="4">
        <f t="shared" si="0"/>
        <v>60</v>
      </c>
    </row>
    <row r="17" spans="2:6" x14ac:dyDescent="0.35">
      <c r="B17" t="s">
        <v>39</v>
      </c>
      <c r="C17">
        <v>2.5</v>
      </c>
      <c r="D17" t="s">
        <v>72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1</v>
      </c>
      <c r="F17" s="4">
        <f t="shared" si="0"/>
        <v>2.5</v>
      </c>
    </row>
    <row r="18" spans="2:6" x14ac:dyDescent="0.35">
      <c r="B18" t="s">
        <v>26</v>
      </c>
      <c r="C18">
        <v>4</v>
      </c>
      <c r="D18" t="s">
        <v>8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200</v>
      </c>
      <c r="F18" s="4">
        <f t="shared" si="0"/>
        <v>800</v>
      </c>
    </row>
    <row r="19" spans="2:6" x14ac:dyDescent="0.35">
      <c r="B19" t="s">
        <v>26</v>
      </c>
      <c r="C19">
        <v>1</v>
      </c>
      <c r="D19" t="s">
        <v>8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200</v>
      </c>
      <c r="F19" s="4">
        <f t="shared" si="0"/>
        <v>200</v>
      </c>
    </row>
    <row r="20" spans="2:6" x14ac:dyDescent="0.35">
      <c r="B20" t="s">
        <v>35</v>
      </c>
      <c r="C20">
        <v>50</v>
      </c>
      <c r="D20" t="s">
        <v>72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8</v>
      </c>
      <c r="F20" s="4">
        <f t="shared" si="0"/>
        <v>400</v>
      </c>
    </row>
    <row r="21" spans="2:6" x14ac:dyDescent="0.35">
      <c r="B21" t="s">
        <v>19</v>
      </c>
      <c r="C21">
        <v>90</v>
      </c>
      <c r="D21" t="s">
        <v>72</v>
      </c>
      <c r="E21" s="4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4</v>
      </c>
      <c r="F21" s="4">
        <f t="shared" si="0"/>
        <v>360</v>
      </c>
    </row>
    <row r="22" spans="2:6" x14ac:dyDescent="0.35">
      <c r="B22" t="s">
        <v>35</v>
      </c>
      <c r="C22">
        <v>500</v>
      </c>
      <c r="D22" t="s">
        <v>72</v>
      </c>
      <c r="E22" s="4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8</v>
      </c>
      <c r="F22" s="4">
        <f t="shared" si="0"/>
        <v>4000</v>
      </c>
    </row>
    <row r="23" spans="2:6" x14ac:dyDescent="0.35">
      <c r="B23" t="s">
        <v>40</v>
      </c>
      <c r="C23">
        <v>60</v>
      </c>
      <c r="D23" t="s">
        <v>2</v>
      </c>
      <c r="E23" s="4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2</v>
      </c>
      <c r="F23" s="4">
        <f t="shared" si="0"/>
        <v>120</v>
      </c>
    </row>
    <row r="24" spans="2:6" x14ac:dyDescent="0.35">
      <c r="B24" t="s">
        <v>28</v>
      </c>
      <c r="C24">
        <v>1</v>
      </c>
      <c r="D24" t="s">
        <v>6</v>
      </c>
      <c r="E24" s="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375</v>
      </c>
      <c r="F24" s="4">
        <f t="shared" si="0"/>
        <v>375</v>
      </c>
    </row>
    <row r="25" spans="2:6" x14ac:dyDescent="0.35">
      <c r="B25" t="s">
        <v>26</v>
      </c>
      <c r="C25">
        <v>4</v>
      </c>
      <c r="D25" t="s">
        <v>8</v>
      </c>
      <c r="E25" s="4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>200</v>
      </c>
      <c r="F25" s="4">
        <f t="shared" si="0"/>
        <v>800</v>
      </c>
    </row>
    <row r="26" spans="2:6" x14ac:dyDescent="0.35">
      <c r="B26" t="s">
        <v>40</v>
      </c>
      <c r="C26">
        <v>65</v>
      </c>
      <c r="D26" t="s">
        <v>2</v>
      </c>
      <c r="E26" s="4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>2</v>
      </c>
      <c r="F26" s="4">
        <f t="shared" si="0"/>
        <v>130</v>
      </c>
    </row>
    <row r="27" spans="2:6" x14ac:dyDescent="0.35">
      <c r="B27" t="s">
        <v>25</v>
      </c>
      <c r="C27">
        <v>55</v>
      </c>
      <c r="D27" t="s">
        <v>2</v>
      </c>
      <c r="E27" s="4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>4</v>
      </c>
      <c r="F27" s="4">
        <f t="shared" si="0"/>
        <v>220</v>
      </c>
    </row>
    <row r="28" spans="2:6" x14ac:dyDescent="0.35">
      <c r="B28" t="s">
        <v>73</v>
      </c>
      <c r="C28">
        <v>50</v>
      </c>
      <c r="D28" t="s">
        <v>2</v>
      </c>
      <c r="E28" s="4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>4</v>
      </c>
      <c r="F28" s="4">
        <f t="shared" si="0"/>
        <v>200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>IFERROR(PRODUCT(E35,C35),"")</f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14B722-6C68-42F7-9E7D-D13DC5C720DC}">
          <x14:formula1>
            <xm:f>UNITS!$A$2:$A$9</xm:f>
          </x14:formula1>
          <xm:sqref>D12:D38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1183-06E3-4BE1-8116-7397F654B8DD}">
  <sheetPr codeName="Sheet12"/>
  <dimension ref="A1:F40"/>
  <sheetViews>
    <sheetView zoomScale="70" zoomScaleNormal="70" workbookViewId="0">
      <selection activeCell="E17" sqref="E17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74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MROUND(PRODUCT(SUM(200%,-C3),SUM(Table478349[TOTAL COST])),1)</f>
        <v>2283</v>
      </c>
    </row>
    <row r="5" spans="1:6" ht="18.75" customHeight="1" x14ac:dyDescent="0.35">
      <c r="B5" s="7" t="s">
        <v>57</v>
      </c>
      <c r="C5" s="9">
        <v>0.35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7" t="s">
        <v>93</v>
      </c>
      <c r="C7" s="8">
        <f>MROUND(C4/C6,0.01)</f>
        <v>190.25</v>
      </c>
    </row>
    <row r="8" spans="1:6" ht="18.75" customHeight="1" x14ac:dyDescent="0.35">
      <c r="B8" s="26" t="s">
        <v>59</v>
      </c>
      <c r="C8" s="10">
        <f>IFERROR(MROUND(PRODUCT(C7,SUM(1,C5)),1),"")</f>
        <v>257</v>
      </c>
    </row>
    <row r="9" spans="1:6" ht="18.75" customHeight="1" thickBot="1" x14ac:dyDescent="0.4">
      <c r="B9" s="34" t="s">
        <v>94</v>
      </c>
      <c r="C9" s="35">
        <f>IFERROR((C8-C7)/C8,"")</f>
        <v>0.25972762645914399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ht="15.5" x14ac:dyDescent="0.35">
      <c r="B12" s="13" t="s">
        <v>29</v>
      </c>
      <c r="C12">
        <v>1.25</v>
      </c>
      <c r="D12" t="s">
        <v>1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175</v>
      </c>
      <c r="F12" s="4">
        <f>IFERROR(PRODUCT(E12,C12),"")</f>
        <v>218.75</v>
      </c>
    </row>
    <row r="13" spans="1:6" ht="15.5" x14ac:dyDescent="0.35">
      <c r="B13" s="13" t="s">
        <v>40</v>
      </c>
      <c r="C13">
        <v>1</v>
      </c>
      <c r="D13" t="s">
        <v>6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16</v>
      </c>
      <c r="F13" s="4">
        <f t="shared" ref="F13:F40" si="0">IFERROR(PRODUCT(E13,C13),"")</f>
        <v>16</v>
      </c>
    </row>
    <row r="14" spans="1:6" ht="15.5" x14ac:dyDescent="0.35">
      <c r="B14" s="13" t="s">
        <v>39</v>
      </c>
      <c r="C14">
        <v>0.4</v>
      </c>
      <c r="D14" t="s">
        <v>7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</v>
      </c>
      <c r="F14" s="4">
        <f t="shared" si="0"/>
        <v>1.2000000000000002</v>
      </c>
    </row>
    <row r="15" spans="1:6" ht="15.5" x14ac:dyDescent="0.35">
      <c r="B15" s="13" t="s">
        <v>14</v>
      </c>
      <c r="C15">
        <v>0.5</v>
      </c>
      <c r="D15" t="s">
        <v>7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15</v>
      </c>
      <c r="F15" s="4">
        <f t="shared" si="0"/>
        <v>7.5</v>
      </c>
    </row>
    <row r="16" spans="1:6" ht="15.5" x14ac:dyDescent="0.35">
      <c r="B16" s="13" t="s">
        <v>19</v>
      </c>
      <c r="C16">
        <v>1</v>
      </c>
      <c r="D16" t="s">
        <v>6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32</v>
      </c>
      <c r="F16" s="4">
        <f t="shared" si="0"/>
        <v>32</v>
      </c>
    </row>
    <row r="17" spans="2:6" ht="15.5" x14ac:dyDescent="0.35">
      <c r="B17" s="13" t="s">
        <v>26</v>
      </c>
      <c r="C17">
        <v>1</v>
      </c>
      <c r="D17" t="s">
        <v>8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200</v>
      </c>
      <c r="F17" s="4">
        <f t="shared" si="0"/>
        <v>200</v>
      </c>
    </row>
    <row r="18" spans="2:6" ht="15.5" x14ac:dyDescent="0.35">
      <c r="B18" s="13" t="s">
        <v>27</v>
      </c>
      <c r="C18">
        <v>1</v>
      </c>
      <c r="D18" t="s">
        <v>8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1600</v>
      </c>
      <c r="F18" s="4">
        <f t="shared" si="0"/>
        <v>1600</v>
      </c>
    </row>
    <row r="19" spans="2:6" ht="15.5" x14ac:dyDescent="0.35">
      <c r="B19" s="13"/>
      <c r="E19" s="4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2:6" x14ac:dyDescent="0.35">
      <c r="E20" s="4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>IFERROR(PRODUCT(E37,C37),"")</f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2702AD-5FFC-4EDB-9DA3-43F1906DFD3A}">
          <x14:formula1>
            <xm:f>UNITS!$A$2:$A$9</xm:f>
          </x14:formula1>
          <xm:sqref>D12:D40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73119-3EFF-4A8A-9BA2-963DC3C85C06}">
  <sheetPr codeName="Sheet13"/>
  <dimension ref="A1:F30"/>
  <sheetViews>
    <sheetView topLeftCell="A2" zoomScale="70" zoomScaleNormal="70" workbookViewId="0">
      <selection activeCell="E12" sqref="E12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75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MROUND(PRODUCT(SUM(200%,-C3),SUM(Table4783491112[TOTAL COST])),1)</f>
        <v>2933</v>
      </c>
    </row>
    <row r="5" spans="1:6" ht="18.75" customHeight="1" x14ac:dyDescent="0.35">
      <c r="B5" s="7" t="s">
        <v>57</v>
      </c>
      <c r="C5" s="9">
        <v>0.4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7" t="s">
        <v>93</v>
      </c>
      <c r="C7" s="8">
        <f>MROUND(C4/C6,0.01)</f>
        <v>244.42000000000002</v>
      </c>
    </row>
    <row r="8" spans="1:6" ht="18.75" customHeight="1" x14ac:dyDescent="0.35">
      <c r="B8" s="26" t="s">
        <v>59</v>
      </c>
      <c r="C8" s="10">
        <f>IFERROR(MROUND(PRODUCT(C7,SUM(1,C5)),1),"")</f>
        <v>342</v>
      </c>
    </row>
    <row r="9" spans="1:6" ht="18.75" customHeight="1" thickBot="1" x14ac:dyDescent="0.4">
      <c r="B9" s="34" t="s">
        <v>94</v>
      </c>
      <c r="C9" s="35">
        <f>IFERROR((C8-C7)/C8,"")</f>
        <v>0.28532163742690053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29</v>
      </c>
      <c r="C12">
        <v>330</v>
      </c>
      <c r="D12" t="s">
        <v>2</v>
      </c>
      <c r="E12" s="4">
        <f>IF(B12="","",IF(ISNA(MATCH(B12,'INGREDIENT '!$A$3:A67,0)),"Ingredient NOT found",IF(ISNA(MATCH(D12,'INGREDIENT '!$F$2:$M$2,0)),"Unit of Measure not Selected",IF(INDEX('INGREDIENT '!$F$3:$M67,MATCH(B12,'INGREDIENT '!$A$3:A67,0),MATCH(D12,'INGREDIENT '!$F$2:$M$2,0))="","Wrong Unit Of Measure",ROUNDUP(INDEX('INGREDIENT '!$F$3:$M67,MATCH(B12,'INGREDIENT '!$A$3:A67,0),MATCH(D12,'INGREDIENT '!$F$2:$M$2,0)),0.1)))))</f>
        <v>2</v>
      </c>
      <c r="F12" s="4">
        <f>IFERROR(PRODUCT(E12,C12),"")</f>
        <v>660</v>
      </c>
    </row>
    <row r="13" spans="1:6" x14ac:dyDescent="0.35">
      <c r="B13" t="s">
        <v>39</v>
      </c>
      <c r="C13">
        <v>0.5</v>
      </c>
      <c r="D13" t="s">
        <v>7</v>
      </c>
      <c r="E13" s="4">
        <f>IF(B13="","",IF(ISNA(MATCH(B13,'INGREDIENT '!$A$3:A68,0)),"Ingredient NOT found",IF(ISNA(MATCH(D13,'INGREDIENT '!$F$2:$M$2,0)),"Unit of Measure not Selected",IF(INDEX('INGREDIENT '!$F$3:$M68,MATCH(B13,'INGREDIENT '!$A$3:A68,0),MATCH(D13,'INGREDIENT '!$F$2:$M$2,0))="","Wrong Unit Of Measure",ROUNDUP(INDEX('INGREDIENT '!$F$3:$M68,MATCH(B13,'INGREDIENT '!$A$3:A68,0),MATCH(D13,'INGREDIENT '!$F$2:$M$2,0)),0.1)))))</f>
        <v>3</v>
      </c>
      <c r="F13" s="4">
        <f t="shared" ref="F13:F30" si="0">IFERROR(PRODUCT(E13,C13),"")</f>
        <v>1.5</v>
      </c>
    </row>
    <row r="14" spans="1:6" x14ac:dyDescent="0.35">
      <c r="B14" t="s">
        <v>14</v>
      </c>
      <c r="C14">
        <v>1.5</v>
      </c>
      <c r="D14" t="s">
        <v>6</v>
      </c>
      <c r="E14" s="4">
        <f>IF(B14="","",IF(ISNA(MATCH(B14,'INGREDIENT '!$A$3:A69,0)),"Ingredient NOT found",IF(ISNA(MATCH(D14,'INGREDIENT '!$F$2:$M$2,0)),"Unit of Measure not Selected",IF(INDEX('INGREDIENT '!$F$3:$M69,MATCH(B14,'INGREDIENT '!$A$3:A69,0),MATCH(D14,'INGREDIENT '!$F$2:$M$2,0))="","Wrong Unit Of Measure",ROUNDUP(INDEX('INGREDIENT '!$F$3:$M69,MATCH(B14,'INGREDIENT '!$A$3:A69,0),MATCH(D14,'INGREDIENT '!$F$2:$M$2,0)),0.1)))))</f>
        <v>44</v>
      </c>
      <c r="F14" s="4">
        <f t="shared" si="0"/>
        <v>66</v>
      </c>
    </row>
    <row r="15" spans="1:6" x14ac:dyDescent="0.35">
      <c r="B15" t="s">
        <v>36</v>
      </c>
      <c r="C15">
        <v>113</v>
      </c>
      <c r="D15" t="s">
        <v>70</v>
      </c>
      <c r="E15" s="4">
        <f>IF(B15="","",IF(ISNA(MATCH(B15,'INGREDIENT '!$A$3:A70,0)),"Ingredient NOT found",IF(ISNA(MATCH(D15,'INGREDIENT '!$F$2:$M$2,0)),"Unit of Measure not Selected",IF(INDEX('INGREDIENT '!$F$3:$M70,MATCH(B15,'INGREDIENT '!$A$3:A70,0),MATCH(D15,'INGREDIENT '!$F$2:$M$2,0))="","Wrong Unit Of Measure",ROUNDUP(INDEX('INGREDIENT '!$F$3:$M70,MATCH(B15,'INGREDIENT '!$A$3:A70,0),MATCH(D15,'INGREDIENT '!$F$2:$M$2,0)),0.1)))))</f>
        <v>3</v>
      </c>
      <c r="F15" s="4">
        <f t="shared" si="0"/>
        <v>339</v>
      </c>
    </row>
    <row r="16" spans="1:6" x14ac:dyDescent="0.35">
      <c r="B16" t="s">
        <v>35</v>
      </c>
      <c r="C16">
        <v>150</v>
      </c>
      <c r="D16" t="s">
        <v>5</v>
      </c>
      <c r="E16" s="4" t="str">
        <f>IF(B16="","",IF(ISNA(MATCH(B16,'INGREDIENT '!$A$3:A71,0)),"Ingredient NOT found",IF(ISNA(MATCH(D16,'INGREDIENT '!$F$2:$M$2,0)),"Unit of Measure not Selected",IF(INDEX('INGREDIENT '!$F$3:$M71,MATCH(B16,'INGREDIENT '!$A$3:A71,0),MATCH(D16,'INGREDIENT '!$F$2:$M$2,0))="","Wrong Unit Of Measure",ROUNDUP(INDEX('INGREDIENT '!$F$3:$M71,MATCH(B16,'INGREDIENT '!$A$3:A71,0),MATCH(D16,'INGREDIENT '!$F$2:$M$2,0)),0.1)))))</f>
        <v>Wrong Unit Of Measure</v>
      </c>
      <c r="F16" s="4">
        <f t="shared" si="0"/>
        <v>150</v>
      </c>
    </row>
    <row r="17" spans="2:6" x14ac:dyDescent="0.35">
      <c r="B17" t="s">
        <v>40</v>
      </c>
      <c r="C17">
        <v>150</v>
      </c>
      <c r="D17" t="s">
        <v>2</v>
      </c>
      <c r="E17" s="4">
        <f>IF(B17="","",IF(ISNA(MATCH(B17,'INGREDIENT '!$A$3:A72,0)),"Ingredient NOT found",IF(ISNA(MATCH(D17,'INGREDIENT '!$F$2:$M$2,0)),"Unit of Measure not Selected",IF(INDEX('INGREDIENT '!$F$3:$M72,MATCH(B17,'INGREDIENT '!$A$3:A72,0),MATCH(D17,'INGREDIENT '!$F$2:$M$2,0))="","Wrong Unit Of Measure",ROUNDUP(INDEX('INGREDIENT '!$F$3:$M72,MATCH(B17,'INGREDIENT '!$A$3:A72,0),MATCH(D17,'INGREDIENT '!$F$2:$M$2,0)),0.1)))))</f>
        <v>2</v>
      </c>
      <c r="F17" s="4">
        <f t="shared" si="0"/>
        <v>300</v>
      </c>
    </row>
    <row r="18" spans="2:6" x14ac:dyDescent="0.35">
      <c r="B18" t="s">
        <v>28</v>
      </c>
      <c r="C18">
        <v>0.125</v>
      </c>
      <c r="D18" t="s">
        <v>8</v>
      </c>
      <c r="E18" s="4" t="str">
        <f>IF(B18="","",IF(ISNA(MATCH(B18,'INGREDIENT '!$A$3:A73,0)),"Ingredient NOT found",IF(ISNA(MATCH(D18,'INGREDIENT '!$F$2:$M$2,0)),"Unit of Measure not Selected",IF(INDEX('INGREDIENT '!$F$3:$M73,MATCH(B18,'INGREDIENT '!$A$3:A73,0),MATCH(D18,'INGREDIENT '!$F$2:$M$2,0))="","Wrong Unit Of Measure",ROUNDUP(INDEX('INGREDIENT '!$F$3:$M73,MATCH(B18,'INGREDIENT '!$A$3:A73,0),MATCH(D18,'INGREDIENT '!$F$2:$M$2,0)),0.1)))))</f>
        <v>Wrong Unit Of Measure</v>
      </c>
      <c r="F18" s="4">
        <f t="shared" si="0"/>
        <v>0.125</v>
      </c>
    </row>
    <row r="19" spans="2:6" x14ac:dyDescent="0.35">
      <c r="B19" t="s">
        <v>26</v>
      </c>
      <c r="C19">
        <v>2</v>
      </c>
      <c r="D19" t="s">
        <v>8</v>
      </c>
      <c r="E19" s="4">
        <f>IF(B19="","",IF(ISNA(MATCH(B19,'INGREDIENT '!$A$3:A74,0)),"Ingredient NOT found",IF(ISNA(MATCH(D19,'INGREDIENT '!$F$2:$M$2,0)),"Unit of Measure not Selected",IF(INDEX('INGREDIENT '!$F$3:$M74,MATCH(B19,'INGREDIENT '!$A$3:A74,0),MATCH(D19,'INGREDIENT '!$F$2:$M$2,0))="","Wrong Unit Of Measure",ROUNDUP(INDEX('INGREDIENT '!$F$3:$M74,MATCH(B19,'INGREDIENT '!$A$3:A74,0),MATCH(D19,'INGREDIENT '!$F$2:$M$2,0)),0.1)))))</f>
        <v>200</v>
      </c>
      <c r="F19" s="4">
        <f t="shared" si="0"/>
        <v>400</v>
      </c>
    </row>
    <row r="20" spans="2:6" x14ac:dyDescent="0.35">
      <c r="B20" t="s">
        <v>22</v>
      </c>
      <c r="C20" s="18">
        <v>0.75</v>
      </c>
      <c r="D20" t="s">
        <v>1</v>
      </c>
      <c r="E20" s="4">
        <f>IF(B20="","",IF(ISNA(MATCH(B20,'INGREDIENT '!$A$3:A75,0)),"Ingredient NOT found",IF(ISNA(MATCH(D20,'INGREDIENT '!$F$2:$M$2,0)),"Unit of Measure not Selected",IF(INDEX('INGREDIENT '!$F$3:$M75,MATCH(B20,'INGREDIENT '!$A$3:A75,0),MATCH(D20,'INGREDIENT '!$F$2:$M$2,0))="","Wrong Unit Of Measure",ROUNDUP(INDEX('INGREDIENT '!$F$3:$M75,MATCH(B20,'INGREDIENT '!$A$3:A75,0),MATCH(D20,'INGREDIENT '!$F$2:$M$2,0)),0.1)))))</f>
        <v>1000</v>
      </c>
      <c r="F20" s="4">
        <f t="shared" si="0"/>
        <v>750</v>
      </c>
    </row>
    <row r="21" spans="2:6" x14ac:dyDescent="0.35">
      <c r="E21" s="4" t="str">
        <f>IF(B21="","",IF(ISNA(MATCH(B21,'INGREDIENT '!$A$3:A76,0)),"Ingredient NOT found",IF(ISNA(MATCH(D21,'INGREDIENT '!$F$2:$M$2,0)),"Unit of Measure not Selected",IF(INDEX('INGREDIENT '!$F$3:$M76,MATCH(B21,'INGREDIENT '!$A$3:A76,0),MATCH(D21,'INGREDIENT '!$F$2:$M$2,0))="","Wrong Unit Of Measure",ROUNDUP(INDEX('INGREDIENT '!$F$3:$M76,MATCH(B21,'INGREDIENT '!$A$3:A76,0),MATCH(D21,'INGREDIENT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'!$A$3:A77,0)),"Ingredient NOT found",IF(ISNA(MATCH(D22,'INGREDIENT '!$F$2:$M$2,0)),"Unit of Measure not Selected",IF(INDEX('INGREDIENT '!$F$3:$M77,MATCH(B22,'INGREDIENT '!$A$3:A77,0),MATCH(D22,'INGREDIENT '!$F$2:$M$2,0))="","Wrong Unit Of Measure",ROUNDUP(INDEX('INGREDIENT '!$F$3:$M77,MATCH(B22,'INGREDIENT '!$A$3:A77,0),MATCH(D22,'INGREDIENT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'!$A$3:A78,0)),"Ingredient NOT found",IF(ISNA(MATCH(D23,'INGREDIENT '!$F$2:$M$2,0)),"Unit of Measure not Selected",IF(INDEX('INGREDIENT '!$F$3:$M78,MATCH(B23,'INGREDIENT '!$A$3:A78,0),MATCH(D23,'INGREDIENT '!$F$2:$M$2,0))="","Wrong Unit Of Measure",ROUNDUP(INDEX('INGREDIENT '!$F$3:$M78,MATCH(B23,'INGREDIENT '!$A$3:A78,0),MATCH(D23,'INGREDIENT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'!$A$3:A79,0)),"Ingredient NOT found",IF(ISNA(MATCH(D24,'INGREDIENT '!$F$2:$M$2,0)),"Unit of Measure not Selected",IF(INDEX('INGREDIENT '!$F$3:$M79,MATCH(B24,'INGREDIENT '!$A$3:A79,0),MATCH(D24,'INGREDIENT '!$F$2:$M$2,0))="","Wrong Unit Of Measure",ROUNDUP(INDEX('INGREDIENT '!$F$3:$M79,MATCH(B24,'INGREDIENT '!$A$3:A79,0),MATCH(D24,'INGREDIENT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'!$A$3:A80,0)),"Ingredient NOT found",IF(ISNA(MATCH(D25,'INGREDIENT '!$F$2:$M$2,0)),"Unit of Measure not Selected",IF(INDEX('INGREDIENT '!$F$3:$M80,MATCH(B25,'INGREDIENT '!$A$3:A80,0),MATCH(D25,'INGREDIENT '!$F$2:$M$2,0))="","Wrong Unit Of Measure",ROUNDUP(INDEX('INGREDIENT '!$F$3:$M80,MATCH(B25,'INGREDIENT '!$A$3:A80,0),MATCH(D25,'INGREDIENT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'!$A$3:A81,0)),"Ingredient NOT found",IF(ISNA(MATCH(D26,'INGREDIENT '!$F$2:$M$2,0)),"Unit of Measure not Selected",IF(INDEX('INGREDIENT '!$F$3:$M81,MATCH(B26,'INGREDIENT '!$A$3:A81,0),MATCH(D26,'INGREDIENT '!$F$2:$M$2,0))="","Wrong Unit Of Measure",ROUNDUP(INDEX('INGREDIENT '!$F$3:$M81,MATCH(B26,'INGREDIENT '!$A$3:A81,0),MATCH(D26,'INGREDIENT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'!$A$3:A82,0)),"Ingredient NOT found",IF(ISNA(MATCH(D27,'INGREDIENT '!$F$2:$M$2,0)),"Unit of Measure not Selected",IF(INDEX('INGREDIENT '!$F$3:$M82,MATCH(B27,'INGREDIENT '!$A$3:A82,0),MATCH(D27,'INGREDIENT '!$F$2:$M$2,0))="","Wrong Unit Of Measure",ROUNDUP(INDEX('INGREDIENT '!$F$3:$M82,MATCH(B27,'INGREDIENT '!$A$3:A82,0),MATCH(D27,'INGREDIENT '!$F$2:$M$2,0)),0.1)))))</f>
        <v/>
      </c>
      <c r="F27" s="4">
        <f>IFERROR(PRODUCT(E27,C27),"")</f>
        <v>0</v>
      </c>
    </row>
    <row r="28" spans="2:6" x14ac:dyDescent="0.35">
      <c r="E28" s="4" t="str">
        <f>IF(B28="","",IF(ISNA(MATCH(B28,'INGREDIENT '!$A$3:A83,0)),"Ingredient NOT found",IF(ISNA(MATCH(D28,'INGREDIENT '!$F$2:$M$2,0)),"Unit of Measure not Selected",IF(INDEX('INGREDIENT '!$F$3:$M83,MATCH(B28,'INGREDIENT '!$A$3:A83,0),MATCH(D28,'INGREDIENT '!$F$2:$M$2,0))="","Wrong Unit Of Measure",ROUNDUP(INDEX('INGREDIENT '!$F$3:$M83,MATCH(B28,'INGREDIENT '!$A$3:A83,0),MATCH(D28,'INGREDIENT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'!$A$3:A84,0)),"Ingredient NOT found",IF(ISNA(MATCH(D29,'INGREDIENT '!$F$2:$M$2,0)),"Unit of Measure not Selected",IF(INDEX('INGREDIENT '!$F$3:$M84,MATCH(B29,'INGREDIENT '!$A$3:A84,0),MATCH(D29,'INGREDIENT '!$F$2:$M$2,0))="","Wrong Unit Of Measure",ROUNDUP(INDEX('INGREDIENT '!$F$3:$M84,MATCH(B29,'INGREDIENT '!$A$3:A84,0),MATCH(D29,'INGREDIENT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'!$A$3:A85,0)),"Ingredient NOT found",IF(ISNA(MATCH(D30,'INGREDIENT '!$F$2:$M$2,0)),"Unit of Measure not Selected",IF(INDEX('INGREDIENT '!$F$3:$M85,MATCH(B30,'INGREDIENT '!$A$3:A85,0),MATCH(D30,'INGREDIENT '!$F$2:$M$2,0))="","Wrong Unit Of Measure",ROUNDUP(INDEX('INGREDIENT '!$F$3:$M85,MATCH(B30,'INGREDIENT '!$A$3:A85,0),MATCH(D30,'INGREDIENT '!$F$2:$M$2,0)),0.1)))))</f>
        <v/>
      </c>
      <c r="F30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DE9C7-DE08-4CB1-9FBE-1EFB915380A9}">
          <x14:formula1>
            <xm:f>UNITS!$A$2:$A$9</xm:f>
          </x14:formula1>
          <xm:sqref>D12:D30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A8D44-A82D-425B-91DA-9FFF11DED336}">
  <sheetPr codeName="Sheet14"/>
  <dimension ref="A1:F43"/>
  <sheetViews>
    <sheetView topLeftCell="A9" zoomScale="70" zoomScaleNormal="70" workbookViewId="0">
      <selection activeCell="E12" sqref="E12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76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MROUND(PRODUCT(SUM(200%,-C3),SUM(Table478349111213[TOTAL COST])),1)</f>
        <v>2936</v>
      </c>
    </row>
    <row r="5" spans="1:6" ht="18.75" customHeight="1" x14ac:dyDescent="0.35">
      <c r="B5" s="7" t="s">
        <v>57</v>
      </c>
      <c r="C5" s="9">
        <v>0.35</v>
      </c>
    </row>
    <row r="6" spans="1:6" ht="18.75" customHeight="1" x14ac:dyDescent="0.35">
      <c r="B6" s="7" t="s">
        <v>58</v>
      </c>
      <c r="C6" s="8">
        <v>19</v>
      </c>
    </row>
    <row r="7" spans="1:6" ht="18.75" customHeight="1" x14ac:dyDescent="0.35">
      <c r="B7" s="7" t="s">
        <v>93</v>
      </c>
      <c r="C7" s="8">
        <f>MROUND(C4/C6,0.01)</f>
        <v>154.53</v>
      </c>
    </row>
    <row r="8" spans="1:6" ht="18.75" customHeight="1" x14ac:dyDescent="0.35">
      <c r="B8" s="26" t="s">
        <v>59</v>
      </c>
      <c r="C8" s="10">
        <f>IFERROR(MROUND(PRODUCT(C7,SUM(1,C5)),1),"")</f>
        <v>209</v>
      </c>
    </row>
    <row r="9" spans="1:6" ht="18.75" customHeight="1" thickBot="1" x14ac:dyDescent="0.4">
      <c r="B9" s="34" t="s">
        <v>94</v>
      </c>
      <c r="C9" s="35">
        <f>IFERROR((C8-C7)/C8,"")</f>
        <v>0.26062200956937798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s="16" t="s">
        <v>35</v>
      </c>
      <c r="C12">
        <v>200</v>
      </c>
      <c r="D12" t="s">
        <v>5</v>
      </c>
      <c r="E12" s="4" t="str">
        <f>IF(B12="","",IF(ISNA(MATCH(B12,'INGREDIENT '!$A$3:A67,0)),"Ingredient NOT found",IF(ISNA(MATCH(D12,'INGREDIENT '!$F$2:$M$2,0)),"Unit of Measure not Selected",IF(INDEX('INGREDIENT '!$F$3:$M67,MATCH(B12,'INGREDIENT '!$A$3:A67,0),MATCH(D12,'INGREDIENT '!$F$2:$M$2,0))="","Wrong Unit Of Measure",ROUNDUP(INDEX('INGREDIENT '!$F$3:$M67,MATCH(B12,'INGREDIENT '!$A$3:A67,0),MATCH(D12,'INGREDIENT '!$F$2:$M$2,0)),0.1)))))</f>
        <v>Wrong Unit Of Measure</v>
      </c>
      <c r="F12" s="4">
        <f>IFERROR(PRODUCT(E12,C12),"")</f>
        <v>200</v>
      </c>
    </row>
    <row r="13" spans="1:6" ht="15.5" x14ac:dyDescent="0.35">
      <c r="B13" s="13" t="s">
        <v>43</v>
      </c>
      <c r="C13">
        <v>125</v>
      </c>
      <c r="D13" t="s">
        <v>70</v>
      </c>
      <c r="E13" s="4">
        <f>IF(B13="","",IF(ISNA(MATCH(B13,'INGREDIENT '!$A$3:A68,0)),"Ingredient NOT found",IF(ISNA(MATCH(D13,'INGREDIENT '!$F$2:$M$2,0)),"Unit of Measure not Selected",IF(INDEX('INGREDIENT '!$F$3:$M68,MATCH(B13,'INGREDIENT '!$A$3:A68,0),MATCH(D13,'INGREDIENT '!$F$2:$M$2,0))="","Wrong Unit Of Measure",ROUNDUP(INDEX('INGREDIENT '!$F$3:$M68,MATCH(B13,'INGREDIENT '!$A$3:A68,0),MATCH(D13,'INGREDIENT '!$F$2:$M$2,0)),0.1)))))</f>
        <v>1</v>
      </c>
      <c r="F13" s="4">
        <f t="shared" ref="F13:F43" si="0">IFERROR(PRODUCT(E13,C13),"")</f>
        <v>125</v>
      </c>
    </row>
    <row r="14" spans="1:6" ht="15.5" x14ac:dyDescent="0.35">
      <c r="B14" s="13" t="s">
        <v>66</v>
      </c>
      <c r="C14">
        <v>1</v>
      </c>
      <c r="D14" t="s">
        <v>8</v>
      </c>
      <c r="E14" s="4" t="str">
        <f>IF(B14="","",IF(ISNA(MATCH(B14,'INGREDIENT '!$A$3:A69,0)),"Ingredient NOT found",IF(ISNA(MATCH(D14,'INGREDIENT '!$F$2:$M$2,0)),"Unit of Measure not Selected",IF(INDEX('INGREDIENT '!$F$3:$M69,MATCH(B14,'INGREDIENT '!$A$3:A69,0),MATCH(D14,'INGREDIENT '!$F$2:$M$2,0))="","Wrong Unit Of Measure",ROUNDUP(INDEX('INGREDIENT '!$F$3:$M69,MATCH(B14,'INGREDIENT '!$A$3:A69,0),MATCH(D14,'INGREDIENT '!$F$2:$M$2,0)),0.1)))))</f>
        <v>Ingredient NOT found</v>
      </c>
      <c r="F14" s="4">
        <f t="shared" si="0"/>
        <v>1</v>
      </c>
    </row>
    <row r="15" spans="1:6" ht="15.5" x14ac:dyDescent="0.35">
      <c r="B15" s="13" t="s">
        <v>44</v>
      </c>
      <c r="C15">
        <v>6</v>
      </c>
      <c r="D15" t="s">
        <v>2</v>
      </c>
      <c r="E15" s="4">
        <f>IF(B15="","",IF(ISNA(MATCH(B15,'INGREDIENT '!$A$3:A70,0)),"Ingredient NOT found",IF(ISNA(MATCH(D15,'INGREDIENT '!$F$2:$M$2,0)),"Unit of Measure not Selected",IF(INDEX('INGREDIENT '!$F$3:$M70,MATCH(B15,'INGREDIENT '!$A$3:A70,0),MATCH(D15,'INGREDIENT '!$F$2:$M$2,0))="","Wrong Unit Of Measure",ROUNDUP(INDEX('INGREDIENT '!$F$3:$M70,MATCH(B15,'INGREDIENT '!$A$3:A70,0),MATCH(D15,'INGREDIENT '!$F$2:$M$2,0)),0.1)))))</f>
        <v>15</v>
      </c>
      <c r="F15" s="4">
        <f t="shared" si="0"/>
        <v>90</v>
      </c>
    </row>
    <row r="16" spans="1:6" ht="15.5" x14ac:dyDescent="0.35">
      <c r="B16" s="13" t="s">
        <v>40</v>
      </c>
      <c r="C16">
        <v>1</v>
      </c>
      <c r="D16" t="s">
        <v>1</v>
      </c>
      <c r="E16" s="4">
        <f>IF(B16="","",IF(ISNA(MATCH(B16,'INGREDIENT '!$A$3:A71,0)),"Ingredient NOT found",IF(ISNA(MATCH(D16,'INGREDIENT '!$F$2:$M$2,0)),"Unit of Measure not Selected",IF(INDEX('INGREDIENT '!$F$3:$M71,MATCH(B16,'INGREDIENT '!$A$3:A71,0),MATCH(D16,'INGREDIENT '!$F$2:$M$2,0))="","Wrong Unit Of Measure",ROUNDUP(INDEX('INGREDIENT '!$F$3:$M71,MATCH(B16,'INGREDIENT '!$A$3:A71,0),MATCH(D16,'INGREDIENT '!$F$2:$M$2,0)),0.1)))))</f>
        <v>250</v>
      </c>
      <c r="F16" s="4">
        <f t="shared" si="0"/>
        <v>250</v>
      </c>
    </row>
    <row r="17" spans="2:6" ht="15.5" x14ac:dyDescent="0.35">
      <c r="B17" s="13" t="s">
        <v>29</v>
      </c>
      <c r="C17">
        <v>600</v>
      </c>
      <c r="D17" t="s">
        <v>2</v>
      </c>
      <c r="E17" s="4">
        <f>IF(B17="","",IF(ISNA(MATCH(B17,'INGREDIENT '!$A$3:A72,0)),"Ingredient NOT found",IF(ISNA(MATCH(D17,'INGREDIENT '!$F$2:$M$2,0)),"Unit of Measure not Selected",IF(INDEX('INGREDIENT '!$F$3:$M72,MATCH(B17,'INGREDIENT '!$A$3:A72,0),MATCH(D17,'INGREDIENT '!$F$2:$M$2,0))="","Wrong Unit Of Measure",ROUNDUP(INDEX('INGREDIENT '!$F$3:$M72,MATCH(B17,'INGREDIENT '!$A$3:A72,0),MATCH(D17,'INGREDIENT '!$F$2:$M$2,0)),0.1)))))</f>
        <v>2</v>
      </c>
      <c r="F17" s="4">
        <f t="shared" si="0"/>
        <v>1200</v>
      </c>
    </row>
    <row r="18" spans="2:6" ht="15.5" x14ac:dyDescent="0.35">
      <c r="B18" s="13" t="s">
        <v>39</v>
      </c>
      <c r="C18">
        <v>1</v>
      </c>
      <c r="D18" t="s">
        <v>7</v>
      </c>
      <c r="E18" s="4">
        <f>IF(B18="","",IF(ISNA(MATCH(B18,'INGREDIENT '!$A$3:A73,0)),"Ingredient NOT found",IF(ISNA(MATCH(D18,'INGREDIENT '!$F$2:$M$2,0)),"Unit of Measure not Selected",IF(INDEX('INGREDIENT '!$F$3:$M73,MATCH(B18,'INGREDIENT '!$A$3:A73,0),MATCH(D18,'INGREDIENT '!$F$2:$M$2,0))="","Wrong Unit Of Measure",ROUNDUP(INDEX('INGREDIENT '!$F$3:$M73,MATCH(B18,'INGREDIENT '!$A$3:A73,0),MATCH(D18,'INGREDIENT '!$F$2:$M$2,0)),0.1)))))</f>
        <v>3</v>
      </c>
      <c r="F18" s="4">
        <f t="shared" si="0"/>
        <v>3</v>
      </c>
    </row>
    <row r="19" spans="2:6" ht="15.5" x14ac:dyDescent="0.35">
      <c r="B19" s="13" t="s">
        <v>19</v>
      </c>
      <c r="C19">
        <v>200</v>
      </c>
      <c r="D19" t="s">
        <v>2</v>
      </c>
      <c r="E19" s="4">
        <f>IF(B19="","",IF(ISNA(MATCH(B19,'INGREDIENT '!$A$3:A74,0)),"Ingredient NOT found",IF(ISNA(MATCH(D19,'INGREDIENT '!$F$2:$M$2,0)),"Unit of Measure not Selected",IF(INDEX('INGREDIENT '!$F$3:$M74,MATCH(B19,'INGREDIENT '!$A$3:A74,0),MATCH(D19,'INGREDIENT '!$F$2:$M$2,0))="","Wrong Unit Of Measure",ROUNDUP(INDEX('INGREDIENT '!$F$3:$M74,MATCH(B19,'INGREDIENT '!$A$3:A74,0),MATCH(D19,'INGREDIENT '!$F$2:$M$2,0)),0.1)))))</f>
        <v>4</v>
      </c>
      <c r="F19" s="4">
        <f t="shared" si="0"/>
        <v>800</v>
      </c>
    </row>
    <row r="20" spans="2:6" x14ac:dyDescent="0.35">
      <c r="E20" s="4" t="str">
        <f>IF(B20="","",IF(ISNA(MATCH(B20,'INGREDIENT '!$A$3:A75,0)),"Ingredient NOT found",IF(ISNA(MATCH(D20,'INGREDIENT '!$F$2:$M$2,0)),"Unit of Measure not Selected",IF(INDEX('INGREDIENT '!$F$3:$M75,MATCH(B20,'INGREDIENT '!$A$3:A75,0),MATCH(D20,'INGREDIENT '!$F$2:$M$2,0))="","Wrong Unit Of Measure",ROUNDUP(INDEX('INGREDIENT '!$F$3:$M75,MATCH(B20,'INGREDIENT '!$A$3:A75,0),MATCH(D20,'INGREDIENT '!$F$2:$M$2,0)),0.1)))))</f>
        <v/>
      </c>
      <c r="F20" s="4">
        <f t="shared" si="0"/>
        <v>0</v>
      </c>
    </row>
    <row r="21" spans="2:6" x14ac:dyDescent="0.35">
      <c r="E21" s="4" t="str">
        <f>IF(B21="","",IF(ISNA(MATCH(B21,'INGREDIENT '!$A$3:A76,0)),"Ingredient NOT found",IF(ISNA(MATCH(D21,'INGREDIENT '!$F$2:$M$2,0)),"Unit of Measure not Selected",IF(INDEX('INGREDIENT '!$F$3:$M76,MATCH(B21,'INGREDIENT '!$A$3:A76,0),MATCH(D21,'INGREDIENT '!$F$2:$M$2,0))="","Wrong Unit Of Measure",ROUNDUP(INDEX('INGREDIENT '!$F$3:$M76,MATCH(B21,'INGREDIENT '!$A$3:A76,0),MATCH(D21,'INGREDIENT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'!$A$3:A77,0)),"Ingredient NOT found",IF(ISNA(MATCH(D22,'INGREDIENT '!$F$2:$M$2,0)),"Unit of Measure not Selected",IF(INDEX('INGREDIENT '!$F$3:$M77,MATCH(B22,'INGREDIENT '!$A$3:A77,0),MATCH(D22,'INGREDIENT '!$F$2:$M$2,0))="","Wrong Unit Of Measure",ROUNDUP(INDEX('INGREDIENT '!$F$3:$M77,MATCH(B22,'INGREDIENT '!$A$3:A77,0),MATCH(D22,'INGREDIENT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'!$A$3:A78,0)),"Ingredient NOT found",IF(ISNA(MATCH(D23,'INGREDIENT '!$F$2:$M$2,0)),"Unit of Measure not Selected",IF(INDEX('INGREDIENT '!$F$3:$M78,MATCH(B23,'INGREDIENT '!$A$3:A78,0),MATCH(D23,'INGREDIENT '!$F$2:$M$2,0))="","Wrong Unit Of Measure",ROUNDUP(INDEX('INGREDIENT '!$F$3:$M78,MATCH(B23,'INGREDIENT '!$A$3:A78,0),MATCH(D23,'INGREDIENT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'!$A$3:A79,0)),"Ingredient NOT found",IF(ISNA(MATCH(D24,'INGREDIENT '!$F$2:$M$2,0)),"Unit of Measure not Selected",IF(INDEX('INGREDIENT '!$F$3:$M79,MATCH(B24,'INGREDIENT '!$A$3:A79,0),MATCH(D24,'INGREDIENT '!$F$2:$M$2,0))="","Wrong Unit Of Measure",ROUNDUP(INDEX('INGREDIENT '!$F$3:$M79,MATCH(B24,'INGREDIENT '!$A$3:A79,0),MATCH(D24,'INGREDIENT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'!$A$3:A80,0)),"Ingredient NOT found",IF(ISNA(MATCH(D25,'INGREDIENT '!$F$2:$M$2,0)),"Unit of Measure not Selected",IF(INDEX('INGREDIENT '!$F$3:$M80,MATCH(B25,'INGREDIENT '!$A$3:A80,0),MATCH(D25,'INGREDIENT '!$F$2:$M$2,0))="","Wrong Unit Of Measure",ROUNDUP(INDEX('INGREDIENT '!$F$3:$M80,MATCH(B25,'INGREDIENT '!$A$3:A80,0),MATCH(D25,'INGREDIENT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'!$A$3:A81,0)),"Ingredient NOT found",IF(ISNA(MATCH(D26,'INGREDIENT '!$F$2:$M$2,0)),"Unit of Measure not Selected",IF(INDEX('INGREDIENT '!$F$3:$M81,MATCH(B26,'INGREDIENT '!$A$3:A81,0),MATCH(D26,'INGREDIENT '!$F$2:$M$2,0))="","Wrong Unit Of Measure",ROUNDUP(INDEX('INGREDIENT '!$F$3:$M81,MATCH(B26,'INGREDIENT '!$A$3:A81,0),MATCH(D26,'INGREDIENT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'!$A$3:A82,0)),"Ingredient NOT found",IF(ISNA(MATCH(D27,'INGREDIENT '!$F$2:$M$2,0)),"Unit of Measure not Selected",IF(INDEX('INGREDIENT '!$F$3:$M82,MATCH(B27,'INGREDIENT '!$A$3:A82,0),MATCH(D27,'INGREDIENT '!$F$2:$M$2,0))="","Wrong Unit Of Measure",ROUNDUP(INDEX('INGREDIENT '!$F$3:$M82,MATCH(B27,'INGREDIENT '!$A$3:A82,0),MATCH(D27,'INGREDIENT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'!$A$3:A83,0)),"Ingredient NOT found",IF(ISNA(MATCH(D28,'INGREDIENT '!$F$2:$M$2,0)),"Unit of Measure not Selected",IF(INDEX('INGREDIENT '!$F$3:$M83,MATCH(B28,'INGREDIENT '!$A$3:A83,0),MATCH(D28,'INGREDIENT '!$F$2:$M$2,0))="","Wrong Unit Of Measure",ROUNDUP(INDEX('INGREDIENT '!$F$3:$M83,MATCH(B28,'INGREDIENT '!$A$3:A83,0),MATCH(D28,'INGREDIENT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'!$A$3:A84,0)),"Ingredient NOT found",IF(ISNA(MATCH(D29,'INGREDIENT '!$F$2:$M$2,0)),"Unit of Measure not Selected",IF(INDEX('INGREDIENT '!$F$3:$M84,MATCH(B29,'INGREDIENT '!$A$3:A84,0),MATCH(D29,'INGREDIENT '!$F$2:$M$2,0))="","Wrong Unit Of Measure",ROUNDUP(INDEX('INGREDIENT '!$F$3:$M84,MATCH(B29,'INGREDIENT '!$A$3:A84,0),MATCH(D29,'INGREDIENT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'!$A$3:A85,0)),"Ingredient NOT found",IF(ISNA(MATCH(D30,'INGREDIENT '!$F$2:$M$2,0)),"Unit of Measure not Selected",IF(INDEX('INGREDIENT '!$F$3:$M85,MATCH(B30,'INGREDIENT '!$A$3:A85,0),MATCH(D30,'INGREDIENT '!$F$2:$M$2,0))="","Wrong Unit Of Measure",ROUNDUP(INDEX('INGREDIENT '!$F$3:$M85,MATCH(B30,'INGREDIENT '!$A$3:A85,0),MATCH(D30,'INGREDIENT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'!$A$3:A86,0)),"Ingredient NOT found",IF(ISNA(MATCH(D31,'INGREDIENT '!$F$2:$M$2,0)),"Unit of Measure not Selected",IF(INDEX('INGREDIENT '!$F$3:$M86,MATCH(B31,'INGREDIENT '!$A$3:A86,0),MATCH(D31,'INGREDIENT '!$F$2:$M$2,0))="","Wrong Unit Of Measure",ROUNDUP(INDEX('INGREDIENT '!$F$3:$M86,MATCH(B31,'INGREDIENT '!$A$3:A86,0),MATCH(D31,'INGREDIENT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'!$A$3:A87,0)),"Ingredient NOT found",IF(ISNA(MATCH(D32,'INGREDIENT '!$F$2:$M$2,0)),"Unit of Measure not Selected",IF(INDEX('INGREDIENT '!$F$3:$M87,MATCH(B32,'INGREDIENT '!$A$3:A87,0),MATCH(D32,'INGREDIENT '!$F$2:$M$2,0))="","Wrong Unit Of Measure",ROUNDUP(INDEX('INGREDIENT '!$F$3:$M87,MATCH(B32,'INGREDIENT '!$A$3:A87,0),MATCH(D32,'INGREDIENT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'!$A$3:A88,0)),"Ingredient NOT found",IF(ISNA(MATCH(D33,'INGREDIENT '!$F$2:$M$2,0)),"Unit of Measure not Selected",IF(INDEX('INGREDIENT '!$F$3:$M88,MATCH(B33,'INGREDIENT '!$A$3:A88,0),MATCH(D33,'INGREDIENT '!$F$2:$M$2,0))="","Wrong Unit Of Measure",ROUNDUP(INDEX('INGREDIENT '!$F$3:$M88,MATCH(B33,'INGREDIENT '!$A$3:A88,0),MATCH(D33,'INGREDIENT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'!$A$3:A89,0)),"Ingredient NOT found",IF(ISNA(MATCH(D34,'INGREDIENT '!$F$2:$M$2,0)),"Unit of Measure not Selected",IF(INDEX('INGREDIENT '!$F$3:$M89,MATCH(B34,'INGREDIENT '!$A$3:A89,0),MATCH(D34,'INGREDIENT '!$F$2:$M$2,0))="","Wrong Unit Of Measure",ROUNDUP(INDEX('INGREDIENT '!$F$3:$M89,MATCH(B34,'INGREDIENT '!$A$3:A89,0),MATCH(D34,'INGREDIENT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'!$A$3:A90,0)),"Ingredient NOT found",IF(ISNA(MATCH(D35,'INGREDIENT '!$F$2:$M$2,0)),"Unit of Measure not Selected",IF(INDEX('INGREDIENT '!$F$3:$M90,MATCH(B35,'INGREDIENT '!$A$3:A90,0),MATCH(D35,'INGREDIENT '!$F$2:$M$2,0))="","Wrong Unit Of Measure",ROUNDUP(INDEX('INGREDIENT '!$F$3:$M90,MATCH(B35,'INGREDIENT '!$A$3:A90,0),MATCH(D35,'INGREDIENT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'!$A$3:A91,0)),"Ingredient NOT found",IF(ISNA(MATCH(D36,'INGREDIENT '!$F$2:$M$2,0)),"Unit of Measure not Selected",IF(INDEX('INGREDIENT '!$F$3:$M91,MATCH(B36,'INGREDIENT '!$A$3:A91,0),MATCH(D36,'INGREDIENT '!$F$2:$M$2,0))="","Wrong Unit Of Measure",ROUNDUP(INDEX('INGREDIENT '!$F$3:$M91,MATCH(B36,'INGREDIENT '!$A$3:A91,0),MATCH(D36,'INGREDIENT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'!$A$3:A92,0)),"Ingredient NOT found",IF(ISNA(MATCH(D37,'INGREDIENT '!$F$2:$M$2,0)),"Unit of Measure not Selected",IF(INDEX('INGREDIENT '!$F$3:$M92,MATCH(B37,'INGREDIENT '!$A$3:A92,0),MATCH(D37,'INGREDIENT '!$F$2:$M$2,0))="","Wrong Unit Of Measure",ROUNDUP(INDEX('INGREDIENT '!$F$3:$M92,MATCH(B37,'INGREDIENT '!$A$3:A92,0),MATCH(D37,'INGREDIENT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'!$A$3:A93,0)),"Ingredient NOT found",IF(ISNA(MATCH(D38,'INGREDIENT '!$F$2:$M$2,0)),"Unit of Measure not Selected",IF(INDEX('INGREDIENT '!$F$3:$M93,MATCH(B38,'INGREDIENT '!$A$3:A93,0),MATCH(D38,'INGREDIENT '!$F$2:$M$2,0))="","Wrong Unit Of Measure",ROUNDUP(INDEX('INGREDIENT '!$F$3:$M93,MATCH(B38,'INGREDIENT '!$A$3:A93,0),MATCH(D38,'INGREDIENT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'!$A$3:A94,0)),"Ingredient NOT found",IF(ISNA(MATCH(D39,'INGREDIENT '!$F$2:$M$2,0)),"Unit of Measure not Selected",IF(INDEX('INGREDIENT '!$F$3:$M94,MATCH(B39,'INGREDIENT '!$A$3:A94,0),MATCH(D39,'INGREDIENT '!$F$2:$M$2,0))="","Wrong Unit Of Measure",ROUNDUP(INDEX('INGREDIENT '!$F$3:$M94,MATCH(B39,'INGREDIENT '!$A$3:A94,0),MATCH(D39,'INGREDIENT '!$F$2:$M$2,0)),0.1)))))</f>
        <v/>
      </c>
      <c r="F39" s="4">
        <f t="shared" si="0"/>
        <v>0</v>
      </c>
    </row>
    <row r="40" spans="5:6" x14ac:dyDescent="0.35">
      <c r="E40" s="4" t="str">
        <f>IF(B40="","",IF(ISNA(MATCH(B40,'INGREDIENT '!$A$3:A95,0)),"Ingredient NOT found",IF(ISNA(MATCH(D40,'INGREDIENT '!$F$2:$M$2,0)),"Unit of Measure not Selected",IF(INDEX('INGREDIENT '!$F$3:$M95,MATCH(B40,'INGREDIENT '!$A$3:A95,0),MATCH(D40,'INGREDIENT '!$F$2:$M$2,0))="","Wrong Unit Of Measure",ROUNDUP(INDEX('INGREDIENT '!$F$3:$M95,MATCH(B40,'INGREDIENT '!$A$3:A95,0),MATCH(D40,'INGREDIENT '!$F$2:$M$2,0)),0.1)))))</f>
        <v/>
      </c>
      <c r="F40" s="4">
        <f>IFERROR(PRODUCT(E40,C40),"")</f>
        <v>0</v>
      </c>
    </row>
    <row r="41" spans="5:6" x14ac:dyDescent="0.35">
      <c r="E41" s="4" t="str">
        <f>IF(B41="","",IF(ISNA(MATCH(B41,'INGREDIENT '!$A$3:A96,0)),"Ingredient NOT found",IF(ISNA(MATCH(D41,'INGREDIENT '!$F$2:$M$2,0)),"Unit of Measure not Selected",IF(INDEX('INGREDIENT '!$F$3:$M96,MATCH(B41,'INGREDIENT '!$A$3:A96,0),MATCH(D41,'INGREDIENT '!$F$2:$M$2,0))="","Wrong Unit Of Measure",ROUNDUP(INDEX('INGREDIENT '!$F$3:$M96,MATCH(B41,'INGREDIENT '!$A$3:A96,0),MATCH(D41,'INGREDIENT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'!$A$3:A97,0)),"Ingredient NOT found",IF(ISNA(MATCH(D42,'INGREDIENT '!$F$2:$M$2,0)),"Unit of Measure not Selected",IF(INDEX('INGREDIENT '!$F$3:$M97,MATCH(B42,'INGREDIENT '!$A$3:A97,0),MATCH(D42,'INGREDIENT '!$F$2:$M$2,0))="","Wrong Unit Of Measure",ROUNDUP(INDEX('INGREDIENT '!$F$3:$M97,MATCH(B42,'INGREDIENT '!$A$3:A97,0),MATCH(D42,'INGREDIENT '!$F$2:$M$2,0)),0.1)))))</f>
        <v/>
      </c>
      <c r="F42" s="4">
        <f t="shared" si="0"/>
        <v>0</v>
      </c>
    </row>
    <row r="43" spans="5:6" x14ac:dyDescent="0.35">
      <c r="E43" s="4" t="str">
        <f>IF(B43="","",IF(ISNA(MATCH(B43,'INGREDIENT '!$A$3:A98,0)),"Ingredient NOT found",IF(ISNA(MATCH(D43,'INGREDIENT '!$F$2:$M$2,0)),"Unit of Measure not Selected",IF(INDEX('INGREDIENT '!$F$3:$M98,MATCH(B43,'INGREDIENT '!$A$3:A98,0),MATCH(D43,'INGREDIENT '!$F$2:$M$2,0))="","Wrong Unit Of Measure",ROUNDUP(INDEX('INGREDIENT '!$F$3:$M98,MATCH(B43,'INGREDIENT '!$A$3:A98,0),MATCH(D43,'INGREDIENT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6F2715-675D-4CEE-B731-602633EF8441}">
          <x14:formula1>
            <xm:f>UNITS!$A$2:$A$9</xm:f>
          </x14:formula1>
          <xm:sqref>D12:D43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CA489-41E2-4617-95DE-CE713A7DACAE}">
  <sheetPr codeName="Sheet15"/>
  <dimension ref="A1:F35"/>
  <sheetViews>
    <sheetView zoomScale="70" zoomScaleNormal="70" workbookViewId="0">
      <selection activeCell="E12" sqref="E12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77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MROUND(PRODUCT(SUM(200%,-C3),SUM(Table4783491112131415[TOTAL COST])),1)</f>
        <v>1981</v>
      </c>
    </row>
    <row r="5" spans="1:6" ht="18.75" customHeight="1" x14ac:dyDescent="0.35">
      <c r="B5" s="7" t="s">
        <v>57</v>
      </c>
      <c r="C5" s="9">
        <v>0.4</v>
      </c>
    </row>
    <row r="6" spans="1:6" ht="18.75" customHeight="1" x14ac:dyDescent="0.35">
      <c r="B6" s="7" t="s">
        <v>58</v>
      </c>
      <c r="C6" s="8">
        <v>15</v>
      </c>
    </row>
    <row r="7" spans="1:6" ht="18.75" customHeight="1" x14ac:dyDescent="0.35">
      <c r="B7" s="7" t="s">
        <v>93</v>
      </c>
      <c r="C7" s="8">
        <f>MROUND(C4/C6,0.01)</f>
        <v>132.07</v>
      </c>
    </row>
    <row r="8" spans="1:6" ht="18.75" customHeight="1" x14ac:dyDescent="0.35">
      <c r="B8" s="26" t="s">
        <v>59</v>
      </c>
      <c r="C8" s="10">
        <f>IFERROR(MROUND(PRODUCT(C7,SUM(1,C5)),1),"")</f>
        <v>185</v>
      </c>
    </row>
    <row r="9" spans="1:6" ht="18.75" customHeight="1" thickBot="1" x14ac:dyDescent="0.4">
      <c r="B9" s="34" t="s">
        <v>94</v>
      </c>
      <c r="C9" s="35">
        <f>IFERROR((C8-C7)/C8,"")</f>
        <v>0.28610810810810816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78</v>
      </c>
      <c r="C12">
        <v>240</v>
      </c>
      <c r="D12" t="s">
        <v>70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</v>
      </c>
      <c r="F12" s="4">
        <f>IFERROR(PRODUCT(E12,C12),"")</f>
        <v>240</v>
      </c>
    </row>
    <row r="13" spans="1:6" x14ac:dyDescent="0.35">
      <c r="B13" t="s">
        <v>44</v>
      </c>
      <c r="C13">
        <v>7</v>
      </c>
      <c r="D13" t="s">
        <v>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15</v>
      </c>
      <c r="F13" s="4">
        <f t="shared" ref="F13:F35" si="0">IFERROR(PRODUCT(E13,C13),"")</f>
        <v>105</v>
      </c>
    </row>
    <row r="14" spans="1:6" x14ac:dyDescent="0.35">
      <c r="B14" t="s">
        <v>29</v>
      </c>
      <c r="C14">
        <v>390</v>
      </c>
      <c r="D14" t="s">
        <v>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2</v>
      </c>
      <c r="F14" s="4">
        <f t="shared" si="0"/>
        <v>780</v>
      </c>
    </row>
    <row r="15" spans="1:6" x14ac:dyDescent="0.35">
      <c r="B15" t="s">
        <v>19</v>
      </c>
      <c r="C15">
        <v>71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4</v>
      </c>
      <c r="F15" s="4">
        <f t="shared" si="0"/>
        <v>284</v>
      </c>
    </row>
    <row r="16" spans="1:6" x14ac:dyDescent="0.35">
      <c r="B16" t="s">
        <v>40</v>
      </c>
      <c r="C16" s="18">
        <v>0.5</v>
      </c>
      <c r="D16" t="s">
        <v>79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250</v>
      </c>
      <c r="F16" s="4">
        <f t="shared" si="0"/>
        <v>125</v>
      </c>
    </row>
    <row r="17" spans="2:6" x14ac:dyDescent="0.35">
      <c r="B17" t="s">
        <v>26</v>
      </c>
      <c r="C17">
        <v>1</v>
      </c>
      <c r="D17" t="s">
        <v>8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200</v>
      </c>
      <c r="F17" s="4">
        <f t="shared" si="0"/>
        <v>200</v>
      </c>
    </row>
    <row r="18" spans="2:6" x14ac:dyDescent="0.35">
      <c r="B18" t="s">
        <v>39</v>
      </c>
      <c r="C18">
        <v>1</v>
      </c>
      <c r="D18" t="s">
        <v>7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3</v>
      </c>
      <c r="F18" s="4">
        <f t="shared" si="0"/>
        <v>3</v>
      </c>
    </row>
    <row r="19" spans="2:6" x14ac:dyDescent="0.35">
      <c r="B19" t="s">
        <v>19</v>
      </c>
      <c r="C19">
        <v>2</v>
      </c>
      <c r="D19" t="s">
        <v>6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32</v>
      </c>
      <c r="F19" s="4">
        <f t="shared" si="0"/>
        <v>64</v>
      </c>
    </row>
    <row r="20" spans="2:6" x14ac:dyDescent="0.35">
      <c r="E20" s="4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>IFERROR(PRODUCT(E32,C32),"")</f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F8B2F8-E239-43F1-AEF7-7579933C6C4E}">
          <x14:formula1>
            <xm:f>UNITS!$A$2:$A$9</xm:f>
          </x14:formula1>
          <xm:sqref>D12:D35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3648D-8094-458D-BD7A-2275D5E6F9B5}">
  <sheetPr codeName="Sheet16"/>
  <dimension ref="A2:F43"/>
  <sheetViews>
    <sheetView topLeftCell="A8" zoomScale="70" zoomScaleNormal="70" workbookViewId="0">
      <selection activeCell="D17" sqref="D17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2" spans="1:6" ht="18.75" customHeight="1" x14ac:dyDescent="0.35">
      <c r="B2" s="24" t="s">
        <v>53</v>
      </c>
      <c r="C2" s="30" t="s">
        <v>80</v>
      </c>
    </row>
    <row r="3" spans="1:6" ht="18.75" customHeight="1" x14ac:dyDescent="0.35">
      <c r="B3" s="24" t="s">
        <v>55</v>
      </c>
      <c r="C3" s="31">
        <v>0.9</v>
      </c>
    </row>
    <row r="4" spans="1:6" ht="18.75" customHeight="1" x14ac:dyDescent="0.35">
      <c r="B4" s="24" t="s">
        <v>56</v>
      </c>
      <c r="C4" s="25">
        <f>MROUND(PRODUCT(SUM(200%,-C3),SUM(Table47834911121314[TOTAL COST])),1)</f>
        <v>5493</v>
      </c>
    </row>
    <row r="5" spans="1:6" ht="18.75" customHeight="1" x14ac:dyDescent="0.35">
      <c r="B5" s="24" t="s">
        <v>57</v>
      </c>
      <c r="C5" s="32">
        <v>0.5</v>
      </c>
    </row>
    <row r="6" spans="1:6" ht="18.75" customHeight="1" x14ac:dyDescent="0.35">
      <c r="B6" s="24" t="s">
        <v>58</v>
      </c>
      <c r="C6" s="24">
        <v>12</v>
      </c>
    </row>
    <row r="7" spans="1:6" ht="18.75" customHeight="1" x14ac:dyDescent="0.35">
      <c r="B7" s="24" t="s">
        <v>93</v>
      </c>
      <c r="C7" s="24">
        <f>MROUND(C4/C6,0.01)</f>
        <v>457.75</v>
      </c>
    </row>
    <row r="8" spans="1:6" ht="18.75" customHeight="1" x14ac:dyDescent="0.35">
      <c r="B8" s="28" t="s">
        <v>59</v>
      </c>
      <c r="C8" s="25">
        <f>IFERROR(MROUND(PRODUCT(C7,SUM(1,C5)),1),"")</f>
        <v>687</v>
      </c>
    </row>
    <row r="9" spans="1:6" ht="18.75" customHeight="1" x14ac:dyDescent="0.35">
      <c r="B9" s="24" t="s">
        <v>94</v>
      </c>
      <c r="C9" s="33">
        <f>IFERROR((C8-C7)/C8,"")</f>
        <v>0.33369723435225618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ht="15.5" x14ac:dyDescent="0.35">
      <c r="B12" s="17" t="s">
        <v>96</v>
      </c>
      <c r="C12">
        <v>370</v>
      </c>
      <c r="D12" t="s">
        <v>2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8</v>
      </c>
      <c r="F12" s="4">
        <f>IFERROR(PRODUCT(E12,C12),"")</f>
        <v>2960</v>
      </c>
    </row>
    <row r="13" spans="1:6" x14ac:dyDescent="0.35">
      <c r="B13" t="s">
        <v>43</v>
      </c>
      <c r="C13">
        <v>70</v>
      </c>
      <c r="D13" t="s">
        <v>5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</v>
      </c>
      <c r="F13" s="4">
        <f t="shared" ref="F13:F43" si="0">IFERROR(PRODUCT(E13,C13),"")</f>
        <v>70</v>
      </c>
    </row>
    <row r="14" spans="1:6" ht="15.5" x14ac:dyDescent="0.35">
      <c r="B14" s="17" t="s">
        <v>19</v>
      </c>
      <c r="C14">
        <v>56</v>
      </c>
      <c r="D14" t="s">
        <v>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4</v>
      </c>
      <c r="F14" s="4">
        <f t="shared" si="0"/>
        <v>224</v>
      </c>
    </row>
    <row r="15" spans="1:6" ht="15.5" x14ac:dyDescent="0.35">
      <c r="B15" s="17" t="s">
        <v>29</v>
      </c>
      <c r="C15">
        <v>600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1200</v>
      </c>
    </row>
    <row r="16" spans="1:6" ht="15.5" x14ac:dyDescent="0.35">
      <c r="B16" s="17" t="s">
        <v>81</v>
      </c>
      <c r="E16" s="4" t="str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Unit of Measure not Selected</v>
      </c>
      <c r="F16" s="4">
        <f t="shared" si="0"/>
        <v>0</v>
      </c>
    </row>
    <row r="17" spans="2:6" ht="15.5" x14ac:dyDescent="0.35">
      <c r="B17" s="17" t="s">
        <v>23</v>
      </c>
      <c r="C17">
        <v>0.25</v>
      </c>
      <c r="D17" t="s">
        <v>82</v>
      </c>
      <c r="E17" s="4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Ingredient NOT found</v>
      </c>
      <c r="F17" s="4">
        <f t="shared" si="0"/>
        <v>0.25</v>
      </c>
    </row>
    <row r="18" spans="2:6" ht="15.5" x14ac:dyDescent="0.35">
      <c r="B18" s="17" t="s">
        <v>39</v>
      </c>
      <c r="C18">
        <v>4</v>
      </c>
      <c r="D18" t="s">
        <v>2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</v>
      </c>
      <c r="F18" s="4">
        <f t="shared" si="0"/>
        <v>4</v>
      </c>
    </row>
    <row r="19" spans="2:6" x14ac:dyDescent="0.35">
      <c r="B19" t="s">
        <v>40</v>
      </c>
      <c r="C19">
        <v>100</v>
      </c>
      <c r="D19" t="s">
        <v>2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2</v>
      </c>
      <c r="F19" s="4">
        <f t="shared" si="0"/>
        <v>200</v>
      </c>
    </row>
    <row r="20" spans="2:6" ht="15.5" x14ac:dyDescent="0.35">
      <c r="B20" s="17" t="s">
        <v>44</v>
      </c>
      <c r="C20">
        <v>9</v>
      </c>
      <c r="D20" t="s">
        <v>2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15</v>
      </c>
      <c r="F20" s="4">
        <f t="shared" si="0"/>
        <v>135</v>
      </c>
    </row>
    <row r="21" spans="2:6" ht="15.5" x14ac:dyDescent="0.35">
      <c r="B21" s="17" t="s">
        <v>26</v>
      </c>
      <c r="C21">
        <v>1</v>
      </c>
      <c r="D21" t="s">
        <v>8</v>
      </c>
      <c r="E21" s="4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200</v>
      </c>
      <c r="F21" s="4">
        <f t="shared" si="0"/>
        <v>200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s="4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s="4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EA9A5D-8656-4237-BC2E-688D5F6AF66D}">
          <x14:formula1>
            <xm:f>UNITS!$A$2:$A$9</xm:f>
          </x14:formula1>
          <xm:sqref>D12:D43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AB8F3-5D80-4918-871B-C49DF472C2C1}">
  <sheetPr codeName="Sheet17"/>
  <dimension ref="A1:H43"/>
  <sheetViews>
    <sheetView zoomScale="70" zoomScaleNormal="70" workbookViewId="0">
      <selection activeCell="C6" sqref="C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  <col min="8" max="8" width="13.54296875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83</v>
      </c>
    </row>
    <row r="3" spans="1:6" ht="18.75" customHeight="1" x14ac:dyDescent="0.35">
      <c r="B3" s="7" t="s">
        <v>55</v>
      </c>
      <c r="C3" s="12">
        <v>1</v>
      </c>
    </row>
    <row r="4" spans="1:6" ht="18.75" customHeight="1" x14ac:dyDescent="0.35">
      <c r="B4" s="7" t="s">
        <v>56</v>
      </c>
      <c r="C4" s="10">
        <f>MROUND(PRODUCT(SUM(200%,-C3),SUM(Table478349111213141617[TOTAL COST])),1)</f>
        <v>11068</v>
      </c>
    </row>
    <row r="5" spans="1:6" ht="18.75" customHeight="1" x14ac:dyDescent="0.35">
      <c r="B5" s="7" t="s">
        <v>57</v>
      </c>
      <c r="C5" s="9">
        <v>1</v>
      </c>
      <c r="D5" s="4"/>
    </row>
    <row r="6" spans="1:6" ht="18.75" customHeight="1" x14ac:dyDescent="0.35">
      <c r="B6" s="7" t="s">
        <v>58</v>
      </c>
      <c r="C6" s="8">
        <v>16</v>
      </c>
      <c r="D6" s="4"/>
    </row>
    <row r="7" spans="1:6" ht="18.75" customHeight="1" x14ac:dyDescent="0.35">
      <c r="B7" s="7" t="s">
        <v>93</v>
      </c>
      <c r="C7" s="8">
        <f>MROUND(C4/C6,0.01)</f>
        <v>691.75</v>
      </c>
    </row>
    <row r="8" spans="1:6" ht="18.75" customHeight="1" x14ac:dyDescent="0.35">
      <c r="B8" s="26" t="s">
        <v>59</v>
      </c>
      <c r="C8" s="10">
        <f>IFERROR(MROUND(PRODUCT(C7,SUM(1,C5)),1),"")</f>
        <v>1384</v>
      </c>
      <c r="D8" s="4"/>
    </row>
    <row r="9" spans="1:6" ht="18.75" customHeight="1" thickBot="1" x14ac:dyDescent="0.4">
      <c r="B9" s="34" t="s">
        <v>94</v>
      </c>
      <c r="C9" s="35">
        <f>IFERROR((C8-C7)/C8,"")</f>
        <v>0.50018063583815031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ht="15.5" x14ac:dyDescent="0.35">
      <c r="B12" s="17"/>
      <c r="E12" t="str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/>
      </c>
      <c r="F12" s="4">
        <f>IFERROR(PRODUCT(E12,C12),"")</f>
        <v>0</v>
      </c>
    </row>
    <row r="13" spans="1:6" x14ac:dyDescent="0.35">
      <c r="B13" t="s">
        <v>29</v>
      </c>
      <c r="C13">
        <v>16</v>
      </c>
      <c r="D13" t="s">
        <v>1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175</v>
      </c>
      <c r="F13" s="4">
        <f t="shared" ref="F13:F43" si="0">IFERROR(PRODUCT(E13,C13),"")</f>
        <v>2800</v>
      </c>
    </row>
    <row r="14" spans="1:6" ht="15.5" x14ac:dyDescent="0.35">
      <c r="B14" s="17" t="s">
        <v>84</v>
      </c>
      <c r="C14">
        <v>6</v>
      </c>
      <c r="D14" t="s">
        <v>6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375</v>
      </c>
      <c r="F14" s="4">
        <f t="shared" si="0"/>
        <v>2250</v>
      </c>
    </row>
    <row r="15" spans="1:6" ht="15.5" x14ac:dyDescent="0.35">
      <c r="B15" s="17" t="s">
        <v>40</v>
      </c>
      <c r="C15">
        <v>4</v>
      </c>
      <c r="D15" t="s">
        <v>1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250</v>
      </c>
      <c r="F15" s="4">
        <f t="shared" si="0"/>
        <v>1000</v>
      </c>
    </row>
    <row r="16" spans="1:6" ht="15.5" x14ac:dyDescent="0.35">
      <c r="B16" s="17" t="s">
        <v>14</v>
      </c>
      <c r="C16">
        <v>8</v>
      </c>
      <c r="D16" t="s">
        <v>6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44</v>
      </c>
      <c r="F16" s="4">
        <f t="shared" si="0"/>
        <v>352</v>
      </c>
    </row>
    <row r="17" spans="2:8" ht="15.5" x14ac:dyDescent="0.35">
      <c r="B17" s="17" t="s">
        <v>26</v>
      </c>
      <c r="C17">
        <v>16</v>
      </c>
      <c r="D17" t="s">
        <v>82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200</v>
      </c>
      <c r="F17" s="4">
        <f t="shared" si="0"/>
        <v>3200</v>
      </c>
      <c r="H17" s="20"/>
    </row>
    <row r="18" spans="2:8" ht="15.5" x14ac:dyDescent="0.35">
      <c r="B18" s="17" t="s">
        <v>41</v>
      </c>
      <c r="C18">
        <v>160</v>
      </c>
      <c r="D18" t="s">
        <v>72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9</v>
      </c>
      <c r="F18" s="4">
        <f t="shared" si="0"/>
        <v>1440</v>
      </c>
      <c r="H18" s="4"/>
    </row>
    <row r="19" spans="2:8" x14ac:dyDescent="0.35">
      <c r="B19" t="s">
        <v>39</v>
      </c>
      <c r="C19">
        <v>2</v>
      </c>
      <c r="D19" t="s">
        <v>6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7</v>
      </c>
      <c r="F19" s="4">
        <f t="shared" si="0"/>
        <v>14</v>
      </c>
    </row>
    <row r="20" spans="2:8" ht="15.5" x14ac:dyDescent="0.35">
      <c r="B20" s="17" t="s">
        <v>15</v>
      </c>
      <c r="C20">
        <v>0.5</v>
      </c>
      <c r="D20" t="s">
        <v>6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24</v>
      </c>
      <c r="F20" s="4">
        <f t="shared" si="0"/>
        <v>12</v>
      </c>
    </row>
    <row r="21" spans="2:8" ht="15.5" x14ac:dyDescent="0.35">
      <c r="B21" s="17"/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8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8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8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8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8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8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8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8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8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8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8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s="4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s="4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3C476D-CC4E-423E-8E0C-A880143E1687}">
          <x14:formula1>
            <xm:f>UNITS!$A$2:$A$9</xm:f>
          </x14:formula1>
          <xm:sqref>D12:D43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6C1C8-ACA6-4616-B61D-A99075017795}">
  <sheetPr codeName="Sheet19"/>
  <dimension ref="A1:F43"/>
  <sheetViews>
    <sheetView zoomScale="70" zoomScaleNormal="70" workbookViewId="0">
      <selection activeCell="B16" sqref="B1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85</v>
      </c>
    </row>
    <row r="3" spans="1:6" ht="18.75" customHeight="1" x14ac:dyDescent="0.35">
      <c r="B3" s="7" t="s">
        <v>55</v>
      </c>
      <c r="C3" s="12">
        <v>0.95</v>
      </c>
      <c r="E3" s="4" t="s">
        <v>153</v>
      </c>
    </row>
    <row r="4" spans="1:6" ht="18.75" customHeight="1" x14ac:dyDescent="0.35">
      <c r="B4" s="7" t="s">
        <v>56</v>
      </c>
      <c r="C4" s="10">
        <f>MROUND(PRODUCT(SUM(200%,-C3),SUM(Table47834911121314161820[TOTAL COST])),1)</f>
        <v>3658</v>
      </c>
    </row>
    <row r="5" spans="1:6" ht="18.75" customHeight="1" x14ac:dyDescent="0.35">
      <c r="B5" s="7" t="s">
        <v>57</v>
      </c>
      <c r="C5" s="9">
        <v>1</v>
      </c>
    </row>
    <row r="6" spans="1:6" ht="18.75" customHeight="1" x14ac:dyDescent="0.35">
      <c r="B6" s="7" t="s">
        <v>58</v>
      </c>
      <c r="C6" s="8">
        <v>10</v>
      </c>
    </row>
    <row r="7" spans="1:6" ht="18.75" customHeight="1" x14ac:dyDescent="0.35">
      <c r="B7" s="7" t="s">
        <v>93</v>
      </c>
      <c r="C7" s="8">
        <f>MROUND(C4/C6,0.01)</f>
        <v>365.8</v>
      </c>
    </row>
    <row r="8" spans="1:6" ht="18.75" customHeight="1" x14ac:dyDescent="0.35">
      <c r="B8" s="26" t="s">
        <v>59</v>
      </c>
      <c r="C8" s="10">
        <f>IFERROR(MROUND(PRODUCT(C7,SUM(1,C5)),1),"")</f>
        <v>732</v>
      </c>
    </row>
    <row r="9" spans="1:6" ht="18.75" customHeight="1" thickBot="1" x14ac:dyDescent="0.4">
      <c r="B9" s="34" t="s">
        <v>94</v>
      </c>
      <c r="C9" s="35">
        <f>IFERROR((C8-C7)/C8,"")</f>
        <v>0.50027322404371588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E12" t="str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/>
      </c>
      <c r="F12" s="4">
        <f>IFERROR(PRODUCT(E12,C12),"")</f>
        <v>0</v>
      </c>
    </row>
    <row r="13" spans="1:6" x14ac:dyDescent="0.35">
      <c r="B13" t="s">
        <v>17</v>
      </c>
      <c r="C13">
        <v>1</v>
      </c>
      <c r="D13" t="s">
        <v>8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1900</v>
      </c>
      <c r="F13" s="4">
        <f t="shared" ref="F13:F43" si="0">IFERROR(PRODUCT(E13,C13),"")</f>
        <v>1900</v>
      </c>
    </row>
    <row r="14" spans="1:6" x14ac:dyDescent="0.35">
      <c r="B14" t="s">
        <v>26</v>
      </c>
      <c r="C14">
        <v>5</v>
      </c>
      <c r="D14" t="s">
        <v>8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200</v>
      </c>
      <c r="F14" s="4">
        <f t="shared" si="0"/>
        <v>1000</v>
      </c>
    </row>
    <row r="15" spans="1:6" x14ac:dyDescent="0.35">
      <c r="B15" t="s">
        <v>46</v>
      </c>
      <c r="C15">
        <v>1</v>
      </c>
      <c r="D15" t="s">
        <v>1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121</v>
      </c>
      <c r="F15" s="4">
        <f t="shared" si="0"/>
        <v>121</v>
      </c>
    </row>
    <row r="16" spans="1:6" x14ac:dyDescent="0.35">
      <c r="B16" t="s">
        <v>47</v>
      </c>
      <c r="C16">
        <v>1</v>
      </c>
      <c r="D16" t="s">
        <v>1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188</v>
      </c>
      <c r="F16" s="4">
        <f t="shared" si="0"/>
        <v>188</v>
      </c>
    </row>
    <row r="17" spans="2:6" x14ac:dyDescent="0.35">
      <c r="B17" t="s">
        <v>52</v>
      </c>
      <c r="C17">
        <v>1.25</v>
      </c>
      <c r="D17" t="s">
        <v>1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220</v>
      </c>
      <c r="F17" s="4">
        <f t="shared" si="0"/>
        <v>275</v>
      </c>
    </row>
    <row r="18" spans="2:6" x14ac:dyDescent="0.35"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2:6" x14ac:dyDescent="0.35"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2:6" x14ac:dyDescent="0.35"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EF91E0-ACB0-406F-B293-E2BC913A581C}">
          <x14:formula1>
            <xm:f>UNITS!$A$2:$A$9</xm:f>
          </x14:formula1>
          <xm:sqref>D12:D43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2AF58-1AE3-428E-B213-2A060136134F}">
  <sheetPr codeName="Sheet20"/>
  <dimension ref="A1:F43"/>
  <sheetViews>
    <sheetView zoomScale="70" zoomScaleNormal="70" workbookViewId="0">
      <selection activeCell="C5" sqref="C5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85</v>
      </c>
    </row>
    <row r="3" spans="1:6" ht="18.75" customHeight="1" x14ac:dyDescent="0.35">
      <c r="B3" s="7" t="s">
        <v>55</v>
      </c>
      <c r="C3" s="12">
        <v>0.95</v>
      </c>
    </row>
    <row r="4" spans="1:6" ht="18.75" customHeight="1" x14ac:dyDescent="0.35">
      <c r="B4" s="7" t="s">
        <v>56</v>
      </c>
      <c r="C4" s="10">
        <f>MROUND(PRODUCT(SUM(200%,-C3),SUM(Table478349111213141618[TOTAL COST])),1)</f>
        <v>8636</v>
      </c>
      <c r="D4" s="4"/>
    </row>
    <row r="5" spans="1:6" ht="18.75" customHeight="1" x14ac:dyDescent="0.35">
      <c r="B5" s="7" t="s">
        <v>57</v>
      </c>
      <c r="C5" s="9">
        <v>1.2</v>
      </c>
      <c r="D5" s="4"/>
    </row>
    <row r="6" spans="1:6" ht="18.75" customHeight="1" x14ac:dyDescent="0.35">
      <c r="B6" s="7" t="s">
        <v>58</v>
      </c>
      <c r="C6" s="8">
        <v>16</v>
      </c>
    </row>
    <row r="7" spans="1:6" ht="18.75" customHeight="1" x14ac:dyDescent="0.35">
      <c r="B7" s="7" t="s">
        <v>93</v>
      </c>
      <c r="C7" s="8">
        <f>MROUND(C4/C6,0.01)</f>
        <v>539.75</v>
      </c>
    </row>
    <row r="8" spans="1:6" ht="18.75" customHeight="1" x14ac:dyDescent="0.35">
      <c r="B8" s="26" t="s">
        <v>59</v>
      </c>
      <c r="C8" s="10">
        <f>IFERROR(MROUND(PRODUCT(C7,SUM(1,C5)),1),"")</f>
        <v>1187</v>
      </c>
    </row>
    <row r="9" spans="1:6" ht="18.75" customHeight="1" thickBot="1" x14ac:dyDescent="0.4">
      <c r="B9" s="34" t="s">
        <v>94</v>
      </c>
      <c r="C9" s="35">
        <f>IFERROR((C8-C7)/C8,"")</f>
        <v>0.54528222409435556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E12" t="str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/>
      </c>
      <c r="F12" s="4">
        <f>IFERROR(PRODUCT(E12,C12),"")</f>
        <v>0</v>
      </c>
    </row>
    <row r="13" spans="1:6" x14ac:dyDescent="0.35">
      <c r="B13" t="s">
        <v>17</v>
      </c>
      <c r="C13">
        <v>1.5</v>
      </c>
      <c r="D13" t="s">
        <v>8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1900</v>
      </c>
      <c r="F13" s="4">
        <f t="shared" ref="F13:F43" si="0">IFERROR(PRODUCT(E13,C13),"")</f>
        <v>2850</v>
      </c>
    </row>
    <row r="14" spans="1:6" x14ac:dyDescent="0.35">
      <c r="B14" t="s">
        <v>86</v>
      </c>
      <c r="C14">
        <v>0.5</v>
      </c>
      <c r="D14" t="s">
        <v>3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8000</v>
      </c>
      <c r="F14" s="4">
        <f t="shared" si="0"/>
        <v>4000</v>
      </c>
    </row>
    <row r="15" spans="1:6" x14ac:dyDescent="0.35">
      <c r="B15" t="s">
        <v>87</v>
      </c>
      <c r="C15">
        <v>0.5</v>
      </c>
      <c r="D15" t="s">
        <v>3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2000</v>
      </c>
      <c r="F15" s="4">
        <f t="shared" si="0"/>
        <v>1000</v>
      </c>
    </row>
    <row r="16" spans="1:6" x14ac:dyDescent="0.35">
      <c r="B16" t="s">
        <v>47</v>
      </c>
      <c r="C16">
        <v>0.25</v>
      </c>
      <c r="D16" t="s">
        <v>3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1500</v>
      </c>
      <c r="F16" s="4">
        <f t="shared" si="0"/>
        <v>375</v>
      </c>
    </row>
    <row r="17" spans="5:6" x14ac:dyDescent="0.35">
      <c r="E17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/>
      </c>
      <c r="F17" s="4">
        <f t="shared" si="0"/>
        <v>0</v>
      </c>
    </row>
    <row r="18" spans="5:6" x14ac:dyDescent="0.35"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5:6" x14ac:dyDescent="0.35"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5:6" x14ac:dyDescent="0.35"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5:6" x14ac:dyDescent="0.35"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5:6" x14ac:dyDescent="0.35"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5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5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5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5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5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5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5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5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5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5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A59684-AFD9-46E5-9339-D8F4E39F2369}">
          <x14:formula1>
            <xm:f>UNITS!$A$2:$A$9</xm:f>
          </x14:formula1>
          <xm:sqref>D12:D43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A39BA-37EA-43BF-B751-29BC4D47EAF6}">
  <sheetPr codeName="Sheet21"/>
  <dimension ref="A1:F43"/>
  <sheetViews>
    <sheetView zoomScale="70" zoomScaleNormal="70" workbookViewId="0">
      <selection activeCell="E12" sqref="E12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52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MROUND(PRODUCT(SUM(200%,-C3),SUM(Table4783491112131416[TOTAL COST])),1)</f>
        <v>5803</v>
      </c>
    </row>
    <row r="5" spans="1:6" ht="18.75" customHeight="1" x14ac:dyDescent="0.35">
      <c r="B5" s="7" t="s">
        <v>57</v>
      </c>
      <c r="C5" s="9">
        <v>1</v>
      </c>
    </row>
    <row r="6" spans="1:6" ht="18.75" customHeight="1" x14ac:dyDescent="0.35">
      <c r="B6" s="7" t="s">
        <v>58</v>
      </c>
      <c r="C6" s="8">
        <v>18</v>
      </c>
    </row>
    <row r="7" spans="1:6" ht="18.75" customHeight="1" x14ac:dyDescent="0.35">
      <c r="B7" s="22" t="s">
        <v>93</v>
      </c>
      <c r="C7" s="23">
        <f>MROUND(C4/C6,0.01)</f>
        <v>322.39</v>
      </c>
    </row>
    <row r="8" spans="1:6" ht="18.75" customHeight="1" x14ac:dyDescent="0.35">
      <c r="B8" s="26" t="s">
        <v>59</v>
      </c>
      <c r="C8" s="10">
        <f>IFERROR(MROUND(PRODUCT(C7,SUM(1,C5)),1),"")</f>
        <v>645</v>
      </c>
    </row>
    <row r="9" spans="1:6" ht="18.75" customHeight="1" thickBot="1" x14ac:dyDescent="0.4">
      <c r="B9" s="29" t="s">
        <v>94</v>
      </c>
      <c r="C9" s="27">
        <f>IFERROR((C8-C7)/C8,"")</f>
        <v>0.50017054263565897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A12">
        <v>1</v>
      </c>
      <c r="B12" t="s">
        <v>33</v>
      </c>
      <c r="C12">
        <v>1000</v>
      </c>
      <c r="D12" t="s">
        <v>34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4</v>
      </c>
      <c r="F12" s="4">
        <f>IFERROR(PRODUCT(E12,C12),"")</f>
        <v>4000</v>
      </c>
    </row>
    <row r="13" spans="1:6" x14ac:dyDescent="0.35">
      <c r="B13" t="s">
        <v>88</v>
      </c>
      <c r="C13">
        <v>1.5</v>
      </c>
      <c r="D13" t="s">
        <v>79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250</v>
      </c>
      <c r="F13" s="4">
        <f t="shared" ref="F13:F43" si="0">IFERROR(PRODUCT(E13,C13),"")</f>
        <v>375</v>
      </c>
    </row>
    <row r="14" spans="1:6" x14ac:dyDescent="0.35">
      <c r="B14" t="s">
        <v>89</v>
      </c>
      <c r="C14">
        <v>1</v>
      </c>
      <c r="D14" t="s">
        <v>79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400</v>
      </c>
      <c r="F14" s="4">
        <f t="shared" si="0"/>
        <v>400</v>
      </c>
    </row>
    <row r="15" spans="1:6" x14ac:dyDescent="0.35">
      <c r="B15" t="s">
        <v>90</v>
      </c>
      <c r="C15">
        <v>500</v>
      </c>
      <c r="D15" t="s">
        <v>34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</v>
      </c>
      <c r="F15" s="4">
        <f t="shared" si="0"/>
        <v>500</v>
      </c>
    </row>
    <row r="16" spans="1:6" x14ac:dyDescent="0.35">
      <c r="E16" t="str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/>
      </c>
      <c r="F16" s="4">
        <f t="shared" si="0"/>
        <v>0</v>
      </c>
    </row>
    <row r="17" spans="5:6" x14ac:dyDescent="0.35">
      <c r="E17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/>
      </c>
      <c r="F17" s="4">
        <f t="shared" si="0"/>
        <v>0</v>
      </c>
    </row>
    <row r="18" spans="5:6" x14ac:dyDescent="0.35"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5:6" x14ac:dyDescent="0.35"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5:6" x14ac:dyDescent="0.35"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5:6" x14ac:dyDescent="0.35"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5:6" x14ac:dyDescent="0.35"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5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5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5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5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5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5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5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5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5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5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E9905A-0BBA-42D1-A4FE-9BD304C1880F}">
          <x14:formula1>
            <xm:f>UNITS!$A$2:$A$9</xm:f>
          </x14:formula1>
          <xm:sqref>D12:D43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20303-04F4-4EB6-8EBB-6383FA97C142}">
  <sheetPr codeName="Sheet22"/>
  <dimension ref="A1:F43"/>
  <sheetViews>
    <sheetView topLeftCell="A2" zoomScale="70" zoomScaleNormal="70" workbookViewId="0">
      <selection activeCell="C6" sqref="C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91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MROUND(PRODUCT(SUM(200%,-C3),SUM(Table478349111213141619[TOTAL COST])),1)</f>
        <v>603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1</v>
      </c>
    </row>
    <row r="7" spans="1:6" ht="18.75" customHeight="1" x14ac:dyDescent="0.35">
      <c r="B7" s="22" t="s">
        <v>93</v>
      </c>
      <c r="C7" s="23">
        <f>MROUND(C4/C6,0.01)</f>
        <v>603</v>
      </c>
    </row>
    <row r="8" spans="1:6" ht="18.75" customHeight="1" x14ac:dyDescent="0.35">
      <c r="B8" s="26" t="s">
        <v>59</v>
      </c>
      <c r="C8" s="10">
        <f>IFERROR(MROUND(PRODUCT(C7,SUM(1,C5)),1),"")</f>
        <v>1508</v>
      </c>
    </row>
    <row r="9" spans="1:6" ht="18.75" customHeight="1" thickBot="1" x14ac:dyDescent="0.4">
      <c r="B9" s="29" t="s">
        <v>94</v>
      </c>
      <c r="C9" s="27">
        <f>IFERROR((C8-C7)/C8,"")</f>
        <v>0.60013262599469497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50</v>
      </c>
      <c r="C12">
        <v>1</v>
      </c>
      <c r="D12" t="s">
        <v>8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100</v>
      </c>
      <c r="F12" s="4">
        <f>IFERROR(PRODUCT(E12,C12),"")</f>
        <v>100</v>
      </c>
    </row>
    <row r="13" spans="1:6" x14ac:dyDescent="0.35">
      <c r="B13" s="19" t="s">
        <v>40</v>
      </c>
      <c r="C13">
        <v>5</v>
      </c>
      <c r="D13" t="s">
        <v>72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ref="F13:F43" si="0">IFERROR(PRODUCT(E13,C13),"")</f>
        <v>10</v>
      </c>
    </row>
    <row r="14" spans="1:6" x14ac:dyDescent="0.35">
      <c r="B14" t="s">
        <v>51</v>
      </c>
      <c r="C14" s="18">
        <v>1</v>
      </c>
      <c r="D14" t="s">
        <v>8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438</v>
      </c>
      <c r="F14" s="4">
        <f t="shared" si="0"/>
        <v>438</v>
      </c>
    </row>
    <row r="15" spans="1:6" x14ac:dyDescent="0.35">
      <c r="B15" t="s">
        <v>48</v>
      </c>
      <c r="C15">
        <v>0</v>
      </c>
      <c r="D15" t="s">
        <v>8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150</v>
      </c>
      <c r="F15" s="4">
        <f t="shared" si="0"/>
        <v>0</v>
      </c>
    </row>
    <row r="16" spans="1:6" x14ac:dyDescent="0.35">
      <c r="E16" t="str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/>
      </c>
      <c r="F16" s="4">
        <f t="shared" si="0"/>
        <v>0</v>
      </c>
    </row>
    <row r="17" spans="5:6" x14ac:dyDescent="0.35">
      <c r="E17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/>
      </c>
      <c r="F17" s="4">
        <f t="shared" si="0"/>
        <v>0</v>
      </c>
    </row>
    <row r="18" spans="5:6" x14ac:dyDescent="0.35"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5:6" x14ac:dyDescent="0.35"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5:6" x14ac:dyDescent="0.35"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5:6" x14ac:dyDescent="0.35"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5:6" x14ac:dyDescent="0.35"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5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5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5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5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5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5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5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5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5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5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20CB27-2B0C-4F7E-B9AB-0BEA4EABAEE0}">
          <x14:formula1>
            <xm:f>UNITS!$A$2:$A$9</xm:f>
          </x14:formula1>
          <xm:sqref>D12:D43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912B9-A106-411D-8B81-D2386A4307BF}">
  <sheetPr codeName="Sheet31"/>
  <dimension ref="A1:F43"/>
  <sheetViews>
    <sheetView tabSelected="1" zoomScale="70" zoomScaleNormal="70" workbookViewId="0"/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140</v>
      </c>
      <c r="D2">
        <f>2000/400</f>
        <v>5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MROUND(PRODUCT(SUM(200%,-C3),SUM(Table4783491112131416192232[TOTAL COST])),1)</f>
        <v>5629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34</v>
      </c>
    </row>
    <row r="7" spans="1:6" ht="18.75" customHeight="1" x14ac:dyDescent="0.35">
      <c r="B7" s="22" t="s">
        <v>93</v>
      </c>
      <c r="C7" s="23">
        <f>MROUND(C4/C6,0.01)</f>
        <v>165.56</v>
      </c>
    </row>
    <row r="8" spans="1:6" ht="18.75" customHeight="1" x14ac:dyDescent="0.35">
      <c r="B8" s="26" t="s">
        <v>59</v>
      </c>
      <c r="C8" s="10">
        <f>IFERROR(MROUND(PRODUCT(C7,SUM(1,C5)),1),"")</f>
        <v>414</v>
      </c>
    </row>
    <row r="9" spans="1:6" ht="18.75" customHeight="1" thickBot="1" x14ac:dyDescent="0.4">
      <c r="B9" s="29" t="s">
        <v>94</v>
      </c>
      <c r="C9" s="27">
        <f>IFERROR((C8-C7)/C8,"")</f>
        <v>0.60009661835748795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29</v>
      </c>
      <c r="C12">
        <v>1</v>
      </c>
      <c r="D12" t="s">
        <v>3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1400</v>
      </c>
      <c r="F12" s="4">
        <f>IFERROR(PRODUCT(E12,C12),"")</f>
        <v>1400</v>
      </c>
    </row>
    <row r="13" spans="1:6" x14ac:dyDescent="0.35">
      <c r="B13" s="19" t="s">
        <v>143</v>
      </c>
      <c r="C13">
        <v>1</v>
      </c>
      <c r="D13" t="s">
        <v>82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150</v>
      </c>
      <c r="F13" s="4">
        <f t="shared" ref="F13:F43" si="0">IFERROR(PRODUCT(E13,C13),"")</f>
        <v>150</v>
      </c>
    </row>
    <row r="14" spans="1:6" x14ac:dyDescent="0.35">
      <c r="B14" t="s">
        <v>40</v>
      </c>
      <c r="C14" s="18">
        <v>200</v>
      </c>
      <c r="D14" t="s">
        <v>2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2</v>
      </c>
      <c r="F14" s="4">
        <f t="shared" si="0"/>
        <v>400</v>
      </c>
    </row>
    <row r="15" spans="1:6" x14ac:dyDescent="0.35">
      <c r="B15" t="s">
        <v>19</v>
      </c>
      <c r="C15">
        <v>150</v>
      </c>
      <c r="D15" t="s">
        <v>2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4</v>
      </c>
      <c r="F15" s="4">
        <f t="shared" si="0"/>
        <v>600</v>
      </c>
    </row>
    <row r="16" spans="1:6" x14ac:dyDescent="0.35">
      <c r="B16" t="s">
        <v>96</v>
      </c>
      <c r="C16">
        <v>1</v>
      </c>
      <c r="D16" t="s">
        <v>155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63</v>
      </c>
      <c r="F16" s="4">
        <f t="shared" si="0"/>
        <v>63</v>
      </c>
    </row>
    <row r="17" spans="2:6" x14ac:dyDescent="0.35">
      <c r="B17" t="s">
        <v>144</v>
      </c>
      <c r="C17">
        <v>1</v>
      </c>
      <c r="D17" t="s">
        <v>82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150</v>
      </c>
      <c r="F17" s="4">
        <f t="shared" si="0"/>
        <v>150</v>
      </c>
    </row>
    <row r="18" spans="2:6" x14ac:dyDescent="0.35">
      <c r="B18" t="s">
        <v>141</v>
      </c>
      <c r="C18">
        <v>2</v>
      </c>
      <c r="D18" t="s">
        <v>82</v>
      </c>
      <c r="E18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200</v>
      </c>
      <c r="F18" s="4">
        <f t="shared" si="0"/>
        <v>400</v>
      </c>
    </row>
    <row r="19" spans="2:6" x14ac:dyDescent="0.35">
      <c r="B19" t="s">
        <v>84</v>
      </c>
      <c r="C19">
        <v>2</v>
      </c>
      <c r="D19" t="s">
        <v>106</v>
      </c>
      <c r="E19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125</v>
      </c>
      <c r="F19" s="4">
        <f t="shared" si="0"/>
        <v>250</v>
      </c>
    </row>
    <row r="20" spans="2:6" x14ac:dyDescent="0.35">
      <c r="B20" t="s">
        <v>78</v>
      </c>
      <c r="C20">
        <v>0.75</v>
      </c>
      <c r="D20" t="s">
        <v>79</v>
      </c>
      <c r="E20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2</v>
      </c>
      <c r="F20" s="4">
        <f t="shared" si="0"/>
        <v>1.5</v>
      </c>
    </row>
    <row r="21" spans="2:6" x14ac:dyDescent="0.35">
      <c r="B21" t="s">
        <v>156</v>
      </c>
      <c r="C21">
        <v>1.5</v>
      </c>
      <c r="D21" t="s">
        <v>106</v>
      </c>
      <c r="E21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15</v>
      </c>
      <c r="F21" s="4">
        <f t="shared" si="0"/>
        <v>22.5</v>
      </c>
    </row>
    <row r="22" spans="2:6" x14ac:dyDescent="0.35">
      <c r="B22" t="s">
        <v>116</v>
      </c>
      <c r="C22">
        <v>560</v>
      </c>
      <c r="D22" t="s">
        <v>34</v>
      </c>
      <c r="E22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3</v>
      </c>
      <c r="F22" s="4">
        <f t="shared" si="0"/>
        <v>1680</v>
      </c>
    </row>
    <row r="23" spans="2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54E379-A6E3-4246-BA4E-68F18CB8756F}">
          <x14:formula1>
            <xm:f>UNITS!$A$2:$A$9</xm:f>
          </x14:formula1>
          <xm:sqref>D12:D43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UNITS</vt:lpstr>
      <vt:lpstr>INGREDIENT </vt:lpstr>
      <vt:lpstr>SUMMARY SHEET</vt:lpstr>
      <vt:lpstr>BLANK</vt:lpstr>
      <vt:lpstr>ZOBO</vt:lpstr>
      <vt:lpstr>BANANA BREAD</vt:lpstr>
      <vt:lpstr>CHOCOLATE FOIL CAKE</vt:lpstr>
      <vt:lpstr>RED VELVET FOIL CAKE</vt:lpstr>
      <vt:lpstr>Foil Cake</vt:lpstr>
      <vt:lpstr>BAGUETTE</vt:lpstr>
      <vt:lpstr>BROWNIES</vt:lpstr>
      <vt:lpstr>CINNAMON ROLL</vt:lpstr>
      <vt:lpstr>MEATPIE</vt:lpstr>
      <vt:lpstr>COFFEE CAKE</vt:lpstr>
      <vt:lpstr>CUPCAKE</vt:lpstr>
      <vt:lpstr>BOMBOLINI</vt:lpstr>
      <vt:lpstr>FISHROLL</vt:lpstr>
      <vt:lpstr>MUFFINS</vt:lpstr>
      <vt:lpstr>CROISSANTS</vt:lpstr>
      <vt:lpstr>BREADROLLS</vt:lpstr>
      <vt:lpstr>DOUGHNUT</vt:lpstr>
      <vt:lpstr>WAFFLES</vt:lpstr>
      <vt:lpstr>egg toast</vt:lpstr>
      <vt:lpstr>TOAST</vt:lpstr>
      <vt:lpstr>TOAST CREAM</vt:lpstr>
      <vt:lpstr>CAFE LATTE</vt:lpstr>
      <vt:lpstr>chin chin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</dc:creator>
  <cp:keywords/>
  <dc:description/>
  <cp:lastModifiedBy>Chinagorom Odo</cp:lastModifiedBy>
  <cp:revision/>
  <dcterms:created xsi:type="dcterms:W3CDTF">2024-05-26T23:23:35Z</dcterms:created>
  <dcterms:modified xsi:type="dcterms:W3CDTF">2025-11-04T09:05:37Z</dcterms:modified>
  <cp:category/>
  <cp:contentStatus/>
</cp:coreProperties>
</file>